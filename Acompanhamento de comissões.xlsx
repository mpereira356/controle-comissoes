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P-Bios\Desktop\"/>
    </mc:Choice>
  </mc:AlternateContent>
  <xr:revisionPtr revIDLastSave="0" documentId="8_{5EFD6112-509F-4A83-AD2C-5F32DF492D46}" xr6:coauthVersionLast="47" xr6:coauthVersionMax="47" xr10:uidLastSave="{00000000-0000-0000-0000-000000000000}"/>
  <bookViews>
    <workbookView xWindow="375" yWindow="345" windowWidth="20460" windowHeight="10920" xr2:uid="{00000000-000D-0000-FFFF-FFFF00000000}"/>
  </bookViews>
  <sheets>
    <sheet name="Controle de Comissõe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9" i="1" l="1"/>
  <c r="U63" i="1"/>
  <c r="U64" i="1"/>
  <c r="U65" i="1"/>
  <c r="U66" i="1"/>
  <c r="U67" i="1"/>
  <c r="U68" i="1"/>
  <c r="U69" i="1"/>
  <c r="U70" i="1"/>
  <c r="U71" i="1"/>
  <c r="U62" i="1"/>
  <c r="S63" i="1"/>
  <c r="S64" i="1"/>
  <c r="S65" i="1"/>
  <c r="S66" i="1"/>
  <c r="S67" i="1"/>
  <c r="S68" i="1"/>
  <c r="S69" i="1"/>
  <c r="S70" i="1"/>
  <c r="S71" i="1"/>
  <c r="S62" i="1"/>
</calcChain>
</file>

<file path=xl/sharedStrings.xml><?xml version="1.0" encoding="utf-8"?>
<sst xmlns="http://schemas.openxmlformats.org/spreadsheetml/2006/main" count="328" uniqueCount="75">
  <si>
    <t>Levantamento de Comissões Pagas</t>
  </si>
  <si>
    <t>Unid</t>
  </si>
  <si>
    <t>Dt Transação</t>
  </si>
  <si>
    <t>Dt Emissão</t>
  </si>
  <si>
    <t>Pedido</t>
  </si>
  <si>
    <t>Cod Cli</t>
  </si>
  <si>
    <t>Cliente</t>
  </si>
  <si>
    <t>Cod Forn</t>
  </si>
  <si>
    <t>Título</t>
  </si>
  <si>
    <t>Parc</t>
  </si>
  <si>
    <t>Ccusto</t>
  </si>
  <si>
    <t>Dt Vencto</t>
  </si>
  <si>
    <t>Vl Título (R$)</t>
  </si>
  <si>
    <t>Vl Orig Tit (R$)</t>
  </si>
  <si>
    <t>Valor Comissão Venda (R$)</t>
  </si>
  <si>
    <t>Valor Comissão Serviço (R$)</t>
  </si>
  <si>
    <t>Pedido Erecta</t>
  </si>
  <si>
    <t>Vendedor</t>
  </si>
  <si>
    <t>Base Comissões (R$)</t>
  </si>
  <si>
    <t>% comissão</t>
  </si>
  <si>
    <t>Vr Comissão (R$)</t>
  </si>
  <si>
    <t>A.Custo</t>
  </si>
  <si>
    <t>UNIMED REGIONAL JAU COOPERATIVA DE TRABALHO MEDICO</t>
  </si>
  <si>
    <t>-</t>
  </si>
  <si>
    <t>DEV-022-2024</t>
  </si>
  <si>
    <t>Cícero</t>
  </si>
  <si>
    <t>ASSOCIACAO DO HOSPITAL DE AGUDOS</t>
  </si>
  <si>
    <t>DEV-055-2024</t>
  </si>
  <si>
    <t>REDE MUNICIPAL DR. MARIO GATTI DE URGENCIA, EMERGENCIA E HOSPITALAR</t>
  </si>
  <si>
    <t>DEV-047-2024</t>
  </si>
  <si>
    <t>SECRETARIA DE ESTADO DA SAUDE</t>
  </si>
  <si>
    <t>DEV-061/24</t>
  </si>
  <si>
    <t>DEV-001/25</t>
  </si>
  <si>
    <t>50% MPBIOS/CICERO</t>
  </si>
  <si>
    <t>HOSPITAL DE CARIDADE SAO VICENTE DE PAULO</t>
  </si>
  <si>
    <t>DEV-019/25</t>
  </si>
  <si>
    <t>IRMANDADE DA SANTA CASA DE MISERICORDIA DE PIRASSUNUNGA</t>
  </si>
  <si>
    <t>DEV-022-2025</t>
  </si>
  <si>
    <t>SPDM - ASSOCIACAO PAULISTA PARA O DESENVOLVIMENTO DA MEDICINA</t>
  </si>
  <si>
    <t>DEV-005/25</t>
  </si>
  <si>
    <t>FUNDACAO PARA O DESENVOLVIMENTO MEDICO E HOSPITALAR</t>
  </si>
  <si>
    <t>DEV-028/25</t>
  </si>
  <si>
    <t>DEV-007/25</t>
  </si>
  <si>
    <t>ASSOCIACAO FILHAS DE SAO CAMILO</t>
  </si>
  <si>
    <t>DEV-043/25</t>
  </si>
  <si>
    <t>IRM DO HOSP FRANC ROSAS A SANTA CASA DE MIS DE PINHAL</t>
  </si>
  <si>
    <t>DEV-038/25</t>
  </si>
  <si>
    <t>IRMANDADE DA SANTA CASA DE MISERICORDIA DE LIMEIRA</t>
  </si>
  <si>
    <t>DEV-050/25</t>
  </si>
  <si>
    <t>ASSOCIACAO BENEFICENTE PORTUGUESA DE BAURU</t>
  </si>
  <si>
    <t>DEV-048/25</t>
  </si>
  <si>
    <t>SANTA CASA DE MISERICORDIA DE ITAPEVA</t>
  </si>
  <si>
    <t>DEV-061/25</t>
  </si>
  <si>
    <t>DEV-022/25</t>
  </si>
  <si>
    <t>SANTA CASA DE MISERICORDIA DE CERQUEIRA CESAR</t>
  </si>
  <si>
    <t>DEV-047/25</t>
  </si>
  <si>
    <t>UNIMED DE SANTA BARBARA DOESTE AMERICANA COOP TRAB MED</t>
  </si>
  <si>
    <t>DEV-045/25</t>
  </si>
  <si>
    <t>ASSOCIACAO AMERICANENSE DE SAUDE</t>
  </si>
  <si>
    <t>DEV-058/25</t>
  </si>
  <si>
    <t>Cicero</t>
  </si>
  <si>
    <t>DEV-062/25</t>
  </si>
  <si>
    <t>IRMANDADE DA SANTA CASA DE MISERICORDIA DE LEME</t>
  </si>
  <si>
    <t>10%</t>
  </si>
  <si>
    <t>DEV-058</t>
  </si>
  <si>
    <t>DEV-078/25</t>
  </si>
  <si>
    <t>DEV-056/25</t>
  </si>
  <si>
    <t>DEV-060/25</t>
  </si>
  <si>
    <t>DEV-081/25</t>
  </si>
  <si>
    <t>Envio Relatório</t>
  </si>
  <si>
    <t>Previsão de Pgto</t>
  </si>
  <si>
    <t>Situação</t>
  </si>
  <si>
    <t>DEV-056/2025</t>
  </si>
  <si>
    <t>Pedido Baumer</t>
  </si>
  <si>
    <t>Valor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</si>
</sst>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"/>
  </numFmts>
  <fonts count="6" x14ac:knownFonts="1">
    <font>
      <sz val="11"/>
      <color theme="1"/>
      <name val="Aptos Narrow"/>
      <family val="2"/>
      <scheme val="minor"/>
    </font>
    <font>
      <b/>
      <sz val="15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  <xf numFmtId="164" fontId="3" fillId="0" borderId="1" xfId="0" applyNumberFormat="1" applyFont="1" applyBorder="1" applyAlignment="1">
      <alignment horizontal="left" vertical="center" wrapText="1" indent="1"/>
    </xf>
    <xf numFmtId="44" fontId="3" fillId="0" borderId="1" xfId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0" fillId="0" borderId="1" xfId="0" applyBorder="1"/>
    <xf numFmtId="44" fontId="0" fillId="0" borderId="1" xfId="1" applyFont="1" applyBorder="1"/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44" fontId="2" fillId="0" borderId="3" xfId="1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0" fontId="0" fillId="0" borderId="9" xfId="0" applyBorder="1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09"/>
  <sheetViews>
    <sheetView tabSelected="1" topLeftCell="O1" workbookViewId="0">
      <selection activeCell="Y3" sqref="Y3"/>
    </sheetView>
  </sheetViews>
  <sheetFormatPr defaultRowHeight="15" x14ac:dyDescent="0.25"/>
  <cols>
    <col min="2" max="2" width="6.7109375" bestFit="1" customWidth="1"/>
    <col min="3" max="3" width="17.5703125" customWidth="1"/>
    <col min="4" max="4" width="16.42578125" customWidth="1"/>
    <col min="6" max="6" width="11.42578125" customWidth="1"/>
    <col min="7" max="7" width="74" customWidth="1"/>
    <col min="8" max="8" width="14.140625" customWidth="1"/>
    <col min="12" max="12" width="13.28515625" bestFit="1" customWidth="1"/>
    <col min="13" max="14" width="15.42578125" bestFit="1" customWidth="1"/>
    <col min="15" max="15" width="24.7109375" style="1" customWidth="1"/>
    <col min="16" max="16" width="18.85546875" style="1" customWidth="1"/>
    <col min="17" max="17" width="21.28515625" customWidth="1"/>
    <col min="18" max="18" width="22.85546875" bestFit="1" customWidth="1"/>
    <col min="19" max="19" width="16.85546875" style="1" bestFit="1" customWidth="1"/>
    <col min="20" max="20" width="14" customWidth="1"/>
    <col min="21" max="21" width="16.140625" style="1" customWidth="1"/>
    <col min="23" max="23" width="13.28515625" bestFit="1" customWidth="1"/>
    <col min="24" max="24" width="11" customWidth="1"/>
    <col min="25" max="25" width="10.140625" customWidth="1"/>
  </cols>
  <sheetData>
    <row r="2" spans="2:25" ht="48" customHeight="1" thickBot="1" x14ac:dyDescent="0.3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2:25" ht="49.5" customHeight="1" x14ac:dyDescent="0.25">
      <c r="B3" s="10" t="s">
        <v>1</v>
      </c>
      <c r="C3" s="11" t="s">
        <v>2</v>
      </c>
      <c r="D3" s="11" t="s">
        <v>3</v>
      </c>
      <c r="E3" s="11" t="s">
        <v>4</v>
      </c>
      <c r="F3" s="25" t="s">
        <v>5</v>
      </c>
      <c r="G3" s="11" t="s">
        <v>6</v>
      </c>
      <c r="H3" s="25" t="s">
        <v>7</v>
      </c>
      <c r="I3" s="11" t="s">
        <v>8</v>
      </c>
      <c r="J3" s="11" t="s">
        <v>9</v>
      </c>
      <c r="K3" s="25" t="s">
        <v>10</v>
      </c>
      <c r="L3" s="11" t="s">
        <v>11</v>
      </c>
      <c r="M3" s="11" t="s">
        <v>12</v>
      </c>
      <c r="N3" s="11" t="s">
        <v>13</v>
      </c>
      <c r="O3" s="12" t="s">
        <v>14</v>
      </c>
      <c r="P3" s="12" t="s">
        <v>15</v>
      </c>
      <c r="Q3" s="11" t="s">
        <v>16</v>
      </c>
      <c r="R3" s="11" t="s">
        <v>17</v>
      </c>
      <c r="S3" s="12" t="s">
        <v>18</v>
      </c>
      <c r="T3" s="11" t="s">
        <v>19</v>
      </c>
      <c r="U3" s="12" t="s">
        <v>20</v>
      </c>
      <c r="V3" s="11" t="s">
        <v>21</v>
      </c>
      <c r="W3" s="11" t="s">
        <v>69</v>
      </c>
      <c r="X3" s="11" t="s">
        <v>70</v>
      </c>
      <c r="Y3" s="13" t="s">
        <v>71</v>
      </c>
    </row>
    <row r="4" spans="2:25" ht="17.100000000000001" customHeight="1" x14ac:dyDescent="0.25">
      <c r="B4" s="14">
        <v>1</v>
      </c>
      <c r="C4" s="3">
        <v>45635</v>
      </c>
      <c r="D4" s="3">
        <v>45427</v>
      </c>
      <c r="E4" s="2">
        <v>196579</v>
      </c>
      <c r="F4" s="2">
        <v>20620</v>
      </c>
      <c r="G4" s="2" t="s">
        <v>22</v>
      </c>
      <c r="H4" s="2"/>
      <c r="I4" s="2">
        <v>213882</v>
      </c>
      <c r="J4" s="2">
        <v>8</v>
      </c>
      <c r="K4" s="2">
        <v>8000</v>
      </c>
      <c r="L4" s="3">
        <v>45635</v>
      </c>
      <c r="M4" s="4">
        <v>577841.99</v>
      </c>
      <c r="N4" s="4">
        <v>83125</v>
      </c>
      <c r="O4" s="5">
        <v>3741.5</v>
      </c>
      <c r="P4" s="5">
        <v>0</v>
      </c>
      <c r="Q4" s="6" t="s">
        <v>24</v>
      </c>
      <c r="R4" s="2" t="s">
        <v>25</v>
      </c>
      <c r="S4" s="5">
        <v>3741.5</v>
      </c>
      <c r="T4" s="7">
        <v>0.1</v>
      </c>
      <c r="U4" s="5">
        <v>374.15</v>
      </c>
      <c r="V4" s="2" t="s">
        <v>23</v>
      </c>
      <c r="W4" s="3">
        <v>45667</v>
      </c>
      <c r="X4" s="8"/>
      <c r="Y4" s="15"/>
    </row>
    <row r="5" spans="2:25" ht="17.100000000000001" customHeight="1" x14ac:dyDescent="0.25">
      <c r="B5" s="14">
        <v>1</v>
      </c>
      <c r="C5" s="3">
        <v>45635</v>
      </c>
      <c r="D5" s="3">
        <v>45427</v>
      </c>
      <c r="E5" s="2">
        <v>196579</v>
      </c>
      <c r="F5" s="2">
        <v>20620</v>
      </c>
      <c r="G5" s="2" t="s">
        <v>22</v>
      </c>
      <c r="H5" s="2"/>
      <c r="I5" s="2">
        <v>213882</v>
      </c>
      <c r="J5" s="2">
        <v>8</v>
      </c>
      <c r="K5" s="2">
        <v>8000</v>
      </c>
      <c r="L5" s="3">
        <v>45635</v>
      </c>
      <c r="M5" s="4">
        <v>577841.99</v>
      </c>
      <c r="N5" s="4">
        <v>83125</v>
      </c>
      <c r="O5" s="5">
        <v>0</v>
      </c>
      <c r="P5" s="5">
        <v>2014.65</v>
      </c>
      <c r="Q5" s="6" t="s">
        <v>24</v>
      </c>
      <c r="R5" s="2" t="s">
        <v>25</v>
      </c>
      <c r="S5" s="5">
        <v>2014.65</v>
      </c>
      <c r="T5" s="7">
        <v>0.1</v>
      </c>
      <c r="U5" s="5">
        <v>201.47</v>
      </c>
      <c r="V5" s="2" t="s">
        <v>23</v>
      </c>
      <c r="W5" s="3">
        <v>45667</v>
      </c>
      <c r="X5" s="8"/>
      <c r="Y5" s="15"/>
    </row>
    <row r="6" spans="2:25" ht="17.100000000000001" customHeight="1" x14ac:dyDescent="0.25">
      <c r="B6" s="14">
        <v>1</v>
      </c>
      <c r="C6" s="3">
        <v>45637</v>
      </c>
      <c r="D6" s="3">
        <v>45593</v>
      </c>
      <c r="E6" s="2">
        <v>202934</v>
      </c>
      <c r="F6" s="2">
        <v>4564</v>
      </c>
      <c r="G6" s="2" t="s">
        <v>26</v>
      </c>
      <c r="H6" s="2"/>
      <c r="I6" s="2">
        <v>219039</v>
      </c>
      <c r="J6" s="2">
        <v>3</v>
      </c>
      <c r="K6" s="2">
        <v>463109</v>
      </c>
      <c r="L6" s="3">
        <v>45639</v>
      </c>
      <c r="M6" s="4">
        <v>48600</v>
      </c>
      <c r="N6" s="4">
        <v>48600</v>
      </c>
      <c r="O6" s="5">
        <v>0</v>
      </c>
      <c r="P6" s="5">
        <v>1269.22</v>
      </c>
      <c r="Q6" s="6" t="s">
        <v>27</v>
      </c>
      <c r="R6" s="2" t="s">
        <v>25</v>
      </c>
      <c r="S6" s="5">
        <v>1269.22</v>
      </c>
      <c r="T6" s="7">
        <v>0.1</v>
      </c>
      <c r="U6" s="5">
        <v>126.92</v>
      </c>
      <c r="V6" s="2" t="s">
        <v>23</v>
      </c>
      <c r="W6" s="3">
        <v>45667</v>
      </c>
      <c r="X6" s="8"/>
      <c r="Y6" s="15"/>
    </row>
    <row r="7" spans="2:25" ht="17.100000000000001" customHeight="1" x14ac:dyDescent="0.25">
      <c r="B7" s="14">
        <v>1</v>
      </c>
      <c r="C7" s="3">
        <v>45637</v>
      </c>
      <c r="D7" s="3">
        <v>45593</v>
      </c>
      <c r="E7" s="2">
        <v>202934</v>
      </c>
      <c r="F7" s="2">
        <v>4564</v>
      </c>
      <c r="G7" s="2" t="s">
        <v>26</v>
      </c>
      <c r="H7" s="2"/>
      <c r="I7" s="2">
        <v>219039</v>
      </c>
      <c r="J7" s="2">
        <v>3</v>
      </c>
      <c r="K7" s="2">
        <v>463109</v>
      </c>
      <c r="L7" s="3">
        <v>45639</v>
      </c>
      <c r="M7" s="4">
        <v>48600</v>
      </c>
      <c r="N7" s="4">
        <v>48600</v>
      </c>
      <c r="O7" s="5">
        <v>2357.13</v>
      </c>
      <c r="P7" s="5">
        <v>0</v>
      </c>
      <c r="Q7" s="6" t="s">
        <v>27</v>
      </c>
      <c r="R7" s="2" t="s">
        <v>25</v>
      </c>
      <c r="S7" s="5">
        <v>2357.13</v>
      </c>
      <c r="T7" s="7">
        <v>0.1</v>
      </c>
      <c r="U7" s="5">
        <v>235.71</v>
      </c>
      <c r="V7" s="2" t="s">
        <v>23</v>
      </c>
      <c r="W7" s="3">
        <v>45667</v>
      </c>
      <c r="X7" s="8"/>
      <c r="Y7" s="15"/>
    </row>
    <row r="8" spans="2:25" ht="17.100000000000001" customHeight="1" x14ac:dyDescent="0.25">
      <c r="B8" s="14">
        <v>1</v>
      </c>
      <c r="C8" s="3">
        <v>45670</v>
      </c>
      <c r="D8" s="3">
        <v>45593</v>
      </c>
      <c r="E8" s="2">
        <v>202934</v>
      </c>
      <c r="F8" s="2">
        <v>4564</v>
      </c>
      <c r="G8" s="2" t="s">
        <v>26</v>
      </c>
      <c r="H8" s="2"/>
      <c r="I8" s="2">
        <v>219039</v>
      </c>
      <c r="J8" s="2">
        <v>4</v>
      </c>
      <c r="K8" s="2">
        <v>463109</v>
      </c>
      <c r="L8" s="3">
        <v>45669</v>
      </c>
      <c r="M8" s="4">
        <v>48600</v>
      </c>
      <c r="N8" s="4">
        <v>48600</v>
      </c>
      <c r="O8" s="5">
        <v>0</v>
      </c>
      <c r="P8" s="5">
        <v>1269.22</v>
      </c>
      <c r="Q8" s="6" t="s">
        <v>27</v>
      </c>
      <c r="R8" s="2" t="s">
        <v>25</v>
      </c>
      <c r="S8" s="5">
        <v>1269.22</v>
      </c>
      <c r="T8" s="7">
        <v>0.1</v>
      </c>
      <c r="U8" s="5">
        <v>126.92</v>
      </c>
      <c r="V8" s="2" t="s">
        <v>23</v>
      </c>
      <c r="W8" s="3">
        <v>45698</v>
      </c>
      <c r="X8" s="8"/>
      <c r="Y8" s="15"/>
    </row>
    <row r="9" spans="2:25" ht="17.100000000000001" customHeight="1" x14ac:dyDescent="0.25">
      <c r="B9" s="14">
        <v>1</v>
      </c>
      <c r="C9" s="3">
        <v>45670</v>
      </c>
      <c r="D9" s="3">
        <v>45593</v>
      </c>
      <c r="E9" s="2">
        <v>202934</v>
      </c>
      <c r="F9" s="2">
        <v>4564</v>
      </c>
      <c r="G9" s="2" t="s">
        <v>26</v>
      </c>
      <c r="H9" s="2"/>
      <c r="I9" s="2">
        <v>219039</v>
      </c>
      <c r="J9" s="2">
        <v>4</v>
      </c>
      <c r="K9" s="2">
        <v>463109</v>
      </c>
      <c r="L9" s="3">
        <v>45669</v>
      </c>
      <c r="M9" s="4">
        <v>48600</v>
      </c>
      <c r="N9" s="4">
        <v>48600</v>
      </c>
      <c r="O9" s="5">
        <v>2357.13</v>
      </c>
      <c r="P9" s="5">
        <v>0</v>
      </c>
      <c r="Q9" s="6" t="s">
        <v>27</v>
      </c>
      <c r="R9" s="2" t="s">
        <v>25</v>
      </c>
      <c r="S9" s="5">
        <v>2357.13</v>
      </c>
      <c r="T9" s="7">
        <v>0.1</v>
      </c>
      <c r="U9" s="5">
        <v>235.71</v>
      </c>
      <c r="V9" s="2" t="s">
        <v>23</v>
      </c>
      <c r="W9" s="3">
        <v>45698</v>
      </c>
      <c r="X9" s="8"/>
      <c r="Y9" s="15"/>
    </row>
    <row r="10" spans="2:25" ht="17.100000000000001" customHeight="1" x14ac:dyDescent="0.25">
      <c r="B10" s="14">
        <v>1</v>
      </c>
      <c r="C10" s="3">
        <v>45688</v>
      </c>
      <c r="D10" s="3">
        <v>45596</v>
      </c>
      <c r="E10" s="2">
        <v>201331</v>
      </c>
      <c r="F10" s="2">
        <v>4923</v>
      </c>
      <c r="G10" s="2" t="s">
        <v>28</v>
      </c>
      <c r="H10" s="2"/>
      <c r="I10" s="2">
        <v>219195</v>
      </c>
      <c r="J10" s="2">
        <v>1</v>
      </c>
      <c r="K10" s="2">
        <v>463109</v>
      </c>
      <c r="L10" s="3">
        <v>45607</v>
      </c>
      <c r="M10" s="4">
        <v>340648.15</v>
      </c>
      <c r="N10" s="4">
        <v>380000</v>
      </c>
      <c r="O10" s="5">
        <v>0</v>
      </c>
      <c r="P10" s="5">
        <v>9153.31</v>
      </c>
      <c r="Q10" s="6" t="s">
        <v>29</v>
      </c>
      <c r="R10" s="2" t="s">
        <v>25</v>
      </c>
      <c r="S10" s="5">
        <v>9153.31</v>
      </c>
      <c r="T10" s="7">
        <v>0.1</v>
      </c>
      <c r="U10" s="5">
        <v>915.33</v>
      </c>
      <c r="V10" s="2" t="s">
        <v>23</v>
      </c>
      <c r="W10" s="3">
        <v>45698</v>
      </c>
      <c r="X10" s="8"/>
      <c r="Y10" s="15"/>
    </row>
    <row r="11" spans="2:25" ht="17.100000000000001" customHeight="1" x14ac:dyDescent="0.25">
      <c r="B11" s="14">
        <v>1</v>
      </c>
      <c r="C11" s="3">
        <v>45688</v>
      </c>
      <c r="D11" s="3">
        <v>45596</v>
      </c>
      <c r="E11" s="2">
        <v>201331</v>
      </c>
      <c r="F11" s="2">
        <v>4923</v>
      </c>
      <c r="G11" s="2" t="s">
        <v>28</v>
      </c>
      <c r="H11" s="2"/>
      <c r="I11" s="2">
        <v>219195</v>
      </c>
      <c r="J11" s="2">
        <v>1</v>
      </c>
      <c r="K11" s="2">
        <v>463109</v>
      </c>
      <c r="L11" s="3">
        <v>45607</v>
      </c>
      <c r="M11" s="4">
        <v>340648.15</v>
      </c>
      <c r="N11" s="4">
        <v>380000</v>
      </c>
      <c r="O11" s="5">
        <v>16999</v>
      </c>
      <c r="P11" s="5">
        <v>0</v>
      </c>
      <c r="Q11" s="6" t="s">
        <v>29</v>
      </c>
      <c r="R11" s="2" t="s">
        <v>25</v>
      </c>
      <c r="S11" s="5">
        <v>16999</v>
      </c>
      <c r="T11" s="7">
        <v>0.1</v>
      </c>
      <c r="U11" s="5">
        <v>1699.9</v>
      </c>
      <c r="V11" s="2" t="s">
        <v>23</v>
      </c>
      <c r="W11" s="3">
        <v>45698</v>
      </c>
      <c r="X11" s="8"/>
      <c r="Y11" s="15"/>
    </row>
    <row r="12" spans="2:25" ht="17.100000000000001" customHeight="1" x14ac:dyDescent="0.25">
      <c r="B12" s="14">
        <v>1</v>
      </c>
      <c r="C12" s="3">
        <v>45699</v>
      </c>
      <c r="D12" s="3">
        <v>45593</v>
      </c>
      <c r="E12" s="2">
        <v>202934</v>
      </c>
      <c r="F12" s="2">
        <v>4564</v>
      </c>
      <c r="G12" s="2" t="s">
        <v>26</v>
      </c>
      <c r="H12" s="2"/>
      <c r="I12" s="2">
        <v>219039</v>
      </c>
      <c r="J12" s="2">
        <v>5</v>
      </c>
      <c r="K12" s="2">
        <v>463109</v>
      </c>
      <c r="L12" s="3">
        <v>45699</v>
      </c>
      <c r="M12" s="4">
        <v>48600</v>
      </c>
      <c r="N12" s="4">
        <v>48600</v>
      </c>
      <c r="O12" s="5">
        <v>0</v>
      </c>
      <c r="P12" s="5">
        <v>1269.22</v>
      </c>
      <c r="Q12" s="6" t="s">
        <v>27</v>
      </c>
      <c r="R12" s="2" t="s">
        <v>25</v>
      </c>
      <c r="S12" s="5">
        <v>1269.22</v>
      </c>
      <c r="T12" s="7">
        <v>0.1</v>
      </c>
      <c r="U12" s="5">
        <v>126.92</v>
      </c>
      <c r="V12" s="2"/>
      <c r="W12" s="3">
        <v>45723</v>
      </c>
      <c r="X12" s="8"/>
      <c r="Y12" s="15"/>
    </row>
    <row r="13" spans="2:25" ht="17.100000000000001" customHeight="1" x14ac:dyDescent="0.25">
      <c r="B13" s="14">
        <v>1</v>
      </c>
      <c r="C13" s="3">
        <v>45699</v>
      </c>
      <c r="D13" s="3">
        <v>45593</v>
      </c>
      <c r="E13" s="2">
        <v>202934</v>
      </c>
      <c r="F13" s="2">
        <v>4564</v>
      </c>
      <c r="G13" s="2" t="s">
        <v>26</v>
      </c>
      <c r="H13" s="2"/>
      <c r="I13" s="2">
        <v>219039</v>
      </c>
      <c r="J13" s="2">
        <v>5</v>
      </c>
      <c r="K13" s="2">
        <v>463109</v>
      </c>
      <c r="L13" s="3">
        <v>45699</v>
      </c>
      <c r="M13" s="4">
        <v>48600</v>
      </c>
      <c r="N13" s="4">
        <v>48600</v>
      </c>
      <c r="O13" s="5">
        <v>2357.13</v>
      </c>
      <c r="P13" s="5">
        <v>0</v>
      </c>
      <c r="Q13" s="6" t="s">
        <v>27</v>
      </c>
      <c r="R13" s="2" t="s">
        <v>25</v>
      </c>
      <c r="S13" s="5">
        <v>2357.13</v>
      </c>
      <c r="T13" s="7">
        <v>0.1</v>
      </c>
      <c r="U13" s="5">
        <v>235.71</v>
      </c>
      <c r="V13" s="2"/>
      <c r="W13" s="3">
        <v>45723</v>
      </c>
      <c r="X13" s="8"/>
      <c r="Y13" s="15"/>
    </row>
    <row r="14" spans="2:25" ht="17.100000000000001" customHeight="1" x14ac:dyDescent="0.25">
      <c r="B14" s="14">
        <v>1</v>
      </c>
      <c r="C14" s="3">
        <v>45698</v>
      </c>
      <c r="D14" s="3">
        <v>45656</v>
      </c>
      <c r="E14" s="2">
        <v>204371</v>
      </c>
      <c r="F14" s="2">
        <v>25563</v>
      </c>
      <c r="G14" s="2" t="s">
        <v>30</v>
      </c>
      <c r="H14" s="2"/>
      <c r="I14" s="2">
        <v>220981</v>
      </c>
      <c r="J14" s="2">
        <v>1</v>
      </c>
      <c r="K14" s="2">
        <v>463109</v>
      </c>
      <c r="L14" s="3">
        <v>45696</v>
      </c>
      <c r="M14" s="4">
        <v>367853.91</v>
      </c>
      <c r="N14" s="4">
        <v>370000</v>
      </c>
      <c r="O14" s="5">
        <v>0</v>
      </c>
      <c r="P14" s="5">
        <v>8409.17</v>
      </c>
      <c r="Q14" s="6" t="s">
        <v>31</v>
      </c>
      <c r="R14" s="2" t="s">
        <v>25</v>
      </c>
      <c r="S14" s="5">
        <v>8409.17</v>
      </c>
      <c r="T14" s="7">
        <v>0.1</v>
      </c>
      <c r="U14" s="5">
        <v>840.92</v>
      </c>
      <c r="V14" s="2"/>
      <c r="W14" s="3">
        <v>45723</v>
      </c>
      <c r="X14" s="8"/>
      <c r="Y14" s="15"/>
    </row>
    <row r="15" spans="2:25" ht="17.100000000000001" customHeight="1" x14ac:dyDescent="0.25">
      <c r="B15" s="14">
        <v>1</v>
      </c>
      <c r="C15" s="3">
        <v>45698</v>
      </c>
      <c r="D15" s="3">
        <v>45656</v>
      </c>
      <c r="E15" s="2">
        <v>204371</v>
      </c>
      <c r="F15" s="2">
        <v>25563</v>
      </c>
      <c r="G15" s="2" t="s">
        <v>30</v>
      </c>
      <c r="H15" s="2"/>
      <c r="I15" s="2">
        <v>220981</v>
      </c>
      <c r="J15" s="2">
        <v>1</v>
      </c>
      <c r="K15" s="2">
        <v>463109</v>
      </c>
      <c r="L15" s="3">
        <v>45696</v>
      </c>
      <c r="M15" s="4">
        <v>367853.91</v>
      </c>
      <c r="N15" s="4">
        <v>370000</v>
      </c>
      <c r="O15" s="5">
        <v>15617.02</v>
      </c>
      <c r="P15" s="5">
        <v>0</v>
      </c>
      <c r="Q15" s="6" t="s">
        <v>31</v>
      </c>
      <c r="R15" s="2" t="s">
        <v>25</v>
      </c>
      <c r="S15" s="5">
        <v>15617.02</v>
      </c>
      <c r="T15" s="7">
        <v>0.1</v>
      </c>
      <c r="U15" s="5">
        <v>1561.7</v>
      </c>
      <c r="V15" s="2"/>
      <c r="W15" s="3">
        <v>45723</v>
      </c>
      <c r="X15" s="8"/>
      <c r="Y15" s="15"/>
    </row>
    <row r="16" spans="2:25" ht="17.100000000000001" customHeight="1" x14ac:dyDescent="0.25">
      <c r="B16" s="14">
        <v>1</v>
      </c>
      <c r="C16" s="3">
        <v>45722</v>
      </c>
      <c r="D16" s="3">
        <v>45686</v>
      </c>
      <c r="E16" s="2">
        <v>206160</v>
      </c>
      <c r="F16" s="2">
        <v>25563</v>
      </c>
      <c r="G16" s="2" t="s">
        <v>30</v>
      </c>
      <c r="H16" s="2"/>
      <c r="I16" s="2">
        <v>221991</v>
      </c>
      <c r="J16" s="2">
        <v>1</v>
      </c>
      <c r="K16" s="2">
        <v>463109</v>
      </c>
      <c r="L16" s="3">
        <v>45726</v>
      </c>
      <c r="M16" s="4">
        <v>280000</v>
      </c>
      <c r="N16" s="4">
        <v>280000</v>
      </c>
      <c r="O16" s="5">
        <v>0</v>
      </c>
      <c r="P16" s="5">
        <v>6482.05</v>
      </c>
      <c r="Q16" s="6" t="s">
        <v>32</v>
      </c>
      <c r="R16" s="2" t="s">
        <v>33</v>
      </c>
      <c r="S16" s="5">
        <v>6482.05</v>
      </c>
      <c r="T16" s="7">
        <v>0.1</v>
      </c>
      <c r="U16" s="5">
        <v>324.10000000000002</v>
      </c>
      <c r="V16" s="2" t="s">
        <v>23</v>
      </c>
      <c r="W16" s="3">
        <v>45756</v>
      </c>
      <c r="X16" s="8"/>
      <c r="Y16" s="15"/>
    </row>
    <row r="17" spans="2:25" ht="17.100000000000001" customHeight="1" x14ac:dyDescent="0.25">
      <c r="B17" s="14">
        <v>1</v>
      </c>
      <c r="C17" s="3">
        <v>45722</v>
      </c>
      <c r="D17" s="3">
        <v>45686</v>
      </c>
      <c r="E17" s="2">
        <v>206160</v>
      </c>
      <c r="F17" s="2">
        <v>25563</v>
      </c>
      <c r="G17" s="2" t="s">
        <v>30</v>
      </c>
      <c r="H17" s="2"/>
      <c r="I17" s="2">
        <v>221991</v>
      </c>
      <c r="J17" s="2">
        <v>1</v>
      </c>
      <c r="K17" s="2">
        <v>463109</v>
      </c>
      <c r="L17" s="3">
        <v>45726</v>
      </c>
      <c r="M17" s="4">
        <v>280000</v>
      </c>
      <c r="N17" s="4">
        <v>280000</v>
      </c>
      <c r="O17" s="5">
        <v>12038.09</v>
      </c>
      <c r="P17" s="5">
        <v>0</v>
      </c>
      <c r="Q17" s="6" t="s">
        <v>32</v>
      </c>
      <c r="R17" s="2" t="s">
        <v>33</v>
      </c>
      <c r="S17" s="5">
        <v>12038.09</v>
      </c>
      <c r="T17" s="7">
        <v>0.1</v>
      </c>
      <c r="U17" s="5">
        <v>601.9</v>
      </c>
      <c r="V17" s="2" t="s">
        <v>23</v>
      </c>
      <c r="W17" s="3">
        <v>45756</v>
      </c>
      <c r="X17" s="8"/>
      <c r="Y17" s="15"/>
    </row>
    <row r="18" spans="2:25" ht="17.100000000000001" customHeight="1" x14ac:dyDescent="0.25">
      <c r="B18" s="14">
        <v>1</v>
      </c>
      <c r="C18" s="3">
        <v>45727</v>
      </c>
      <c r="D18" s="3">
        <v>45716</v>
      </c>
      <c r="E18" s="2">
        <v>208658</v>
      </c>
      <c r="F18" s="2">
        <v>5149</v>
      </c>
      <c r="G18" s="2" t="s">
        <v>34</v>
      </c>
      <c r="H18" s="2"/>
      <c r="I18" s="2">
        <v>223186</v>
      </c>
      <c r="J18" s="2">
        <v>1</v>
      </c>
      <c r="K18" s="2">
        <v>463109</v>
      </c>
      <c r="L18" s="3">
        <v>45726</v>
      </c>
      <c r="M18" s="4">
        <v>60256.87</v>
      </c>
      <c r="N18" s="4">
        <v>66090</v>
      </c>
      <c r="O18" s="5">
        <v>2545.31</v>
      </c>
      <c r="P18" s="5">
        <v>0</v>
      </c>
      <c r="Q18" s="6" t="s">
        <v>35</v>
      </c>
      <c r="R18" s="2" t="s">
        <v>25</v>
      </c>
      <c r="S18" s="5">
        <v>2545.31</v>
      </c>
      <c r="T18" s="7">
        <v>0.1</v>
      </c>
      <c r="U18" s="5">
        <v>254.53</v>
      </c>
      <c r="V18" s="2" t="s">
        <v>23</v>
      </c>
      <c r="W18" s="3">
        <v>45756</v>
      </c>
      <c r="X18" s="8"/>
      <c r="Y18" s="15"/>
    </row>
    <row r="19" spans="2:25" ht="17.100000000000001" customHeight="1" x14ac:dyDescent="0.25">
      <c r="B19" s="14">
        <v>1</v>
      </c>
      <c r="C19" s="3">
        <v>45727</v>
      </c>
      <c r="D19" s="3">
        <v>45716</v>
      </c>
      <c r="E19" s="2">
        <v>208658</v>
      </c>
      <c r="F19" s="2">
        <v>5149</v>
      </c>
      <c r="G19" s="2" t="s">
        <v>34</v>
      </c>
      <c r="H19" s="2"/>
      <c r="I19" s="2">
        <v>223186</v>
      </c>
      <c r="J19" s="2">
        <v>1</v>
      </c>
      <c r="K19" s="2">
        <v>463109</v>
      </c>
      <c r="L19" s="3">
        <v>45726</v>
      </c>
      <c r="M19" s="4">
        <v>60256.87</v>
      </c>
      <c r="N19" s="4">
        <v>66090</v>
      </c>
      <c r="O19" s="5">
        <v>0</v>
      </c>
      <c r="P19" s="5">
        <v>1370.55</v>
      </c>
      <c r="Q19" s="6" t="s">
        <v>35</v>
      </c>
      <c r="R19" s="2" t="s">
        <v>25</v>
      </c>
      <c r="S19" s="5">
        <v>1370.55</v>
      </c>
      <c r="T19" s="7">
        <v>0.1</v>
      </c>
      <c r="U19" s="5">
        <v>137.06</v>
      </c>
      <c r="V19" s="2" t="s">
        <v>23</v>
      </c>
      <c r="W19" s="3">
        <v>45756</v>
      </c>
      <c r="X19" s="8"/>
      <c r="Y19" s="15"/>
    </row>
    <row r="20" spans="2:25" ht="17.100000000000001" customHeight="1" x14ac:dyDescent="0.25">
      <c r="B20" s="14">
        <v>1</v>
      </c>
      <c r="C20" s="3">
        <v>45758</v>
      </c>
      <c r="D20" s="3">
        <v>45756</v>
      </c>
      <c r="E20" s="2">
        <v>208838</v>
      </c>
      <c r="F20" s="2">
        <v>5421</v>
      </c>
      <c r="G20" s="2" t="s">
        <v>36</v>
      </c>
      <c r="H20" s="2"/>
      <c r="I20" s="2">
        <v>224711</v>
      </c>
      <c r="J20" s="2">
        <v>1</v>
      </c>
      <c r="K20" s="2">
        <v>463109</v>
      </c>
      <c r="L20" s="3">
        <v>45756</v>
      </c>
      <c r="M20" s="4">
        <v>3295.88</v>
      </c>
      <c r="N20" s="4">
        <v>4150</v>
      </c>
      <c r="O20" s="5">
        <v>182.24</v>
      </c>
      <c r="P20" s="5">
        <v>0</v>
      </c>
      <c r="Q20" s="6" t="s">
        <v>37</v>
      </c>
      <c r="R20" s="2" t="s">
        <v>25</v>
      </c>
      <c r="S20" s="5">
        <v>182.24</v>
      </c>
      <c r="T20" s="7">
        <v>0.1</v>
      </c>
      <c r="U20" s="5">
        <v>18.22</v>
      </c>
      <c r="V20" s="2"/>
      <c r="W20" s="3">
        <v>45789</v>
      </c>
      <c r="X20" s="8"/>
      <c r="Y20" s="15"/>
    </row>
    <row r="21" spans="2:25" ht="17.100000000000001" customHeight="1" x14ac:dyDescent="0.25">
      <c r="B21" s="14">
        <v>1</v>
      </c>
      <c r="C21" s="3">
        <v>45758</v>
      </c>
      <c r="D21" s="3">
        <v>45756</v>
      </c>
      <c r="E21" s="2">
        <v>208838</v>
      </c>
      <c r="F21" s="2">
        <v>5421</v>
      </c>
      <c r="G21" s="2" t="s">
        <v>36</v>
      </c>
      <c r="H21" s="2"/>
      <c r="I21" s="2">
        <v>224711</v>
      </c>
      <c r="J21" s="2">
        <v>2</v>
      </c>
      <c r="K21" s="2">
        <v>463109</v>
      </c>
      <c r="L21" s="3">
        <v>45756</v>
      </c>
      <c r="M21" s="4">
        <v>3295.88</v>
      </c>
      <c r="N21" s="4">
        <v>4150</v>
      </c>
      <c r="O21" s="5">
        <v>0</v>
      </c>
      <c r="P21" s="5">
        <v>98.13</v>
      </c>
      <c r="Q21" s="6" t="s">
        <v>37</v>
      </c>
      <c r="R21" s="2" t="s">
        <v>25</v>
      </c>
      <c r="S21" s="5">
        <v>98.13</v>
      </c>
      <c r="T21" s="7">
        <v>0.1</v>
      </c>
      <c r="U21" s="5">
        <v>9.81</v>
      </c>
      <c r="V21" s="2"/>
      <c r="W21" s="3">
        <v>45789</v>
      </c>
      <c r="X21" s="8"/>
      <c r="Y21" s="15"/>
    </row>
    <row r="22" spans="2:25" ht="17.100000000000001" customHeight="1" x14ac:dyDescent="0.25">
      <c r="B22" s="14">
        <v>1</v>
      </c>
      <c r="C22" s="3">
        <v>45758</v>
      </c>
      <c r="D22" s="3">
        <v>45756</v>
      </c>
      <c r="E22" s="2">
        <v>208838</v>
      </c>
      <c r="F22" s="2">
        <v>5421</v>
      </c>
      <c r="G22" s="2" t="s">
        <v>36</v>
      </c>
      <c r="H22" s="2"/>
      <c r="I22" s="2">
        <v>224711</v>
      </c>
      <c r="J22" s="2">
        <v>2</v>
      </c>
      <c r="K22" s="2">
        <v>463109</v>
      </c>
      <c r="L22" s="3">
        <v>45756</v>
      </c>
      <c r="M22" s="4">
        <v>3295.88</v>
      </c>
      <c r="N22" s="4">
        <v>4150</v>
      </c>
      <c r="O22" s="5">
        <v>182.24</v>
      </c>
      <c r="P22" s="5">
        <v>0</v>
      </c>
      <c r="Q22" s="6" t="s">
        <v>37</v>
      </c>
      <c r="R22" s="2" t="s">
        <v>25</v>
      </c>
      <c r="S22" s="5">
        <v>182.24</v>
      </c>
      <c r="T22" s="7">
        <v>0.1</v>
      </c>
      <c r="U22" s="5">
        <v>18.22</v>
      </c>
      <c r="V22" s="2"/>
      <c r="W22" s="3">
        <v>45789</v>
      </c>
      <c r="X22" s="8"/>
      <c r="Y22" s="15"/>
    </row>
    <row r="23" spans="2:25" ht="17.100000000000001" customHeight="1" x14ac:dyDescent="0.25">
      <c r="B23" s="14">
        <v>1</v>
      </c>
      <c r="C23" s="3">
        <v>45758</v>
      </c>
      <c r="D23" s="3">
        <v>45756</v>
      </c>
      <c r="E23" s="2">
        <v>208838</v>
      </c>
      <c r="F23" s="2">
        <v>5421</v>
      </c>
      <c r="G23" s="2" t="s">
        <v>36</v>
      </c>
      <c r="H23" s="2"/>
      <c r="I23" s="2">
        <v>224711</v>
      </c>
      <c r="J23" s="2">
        <v>1</v>
      </c>
      <c r="K23" s="2">
        <v>463109</v>
      </c>
      <c r="L23" s="3">
        <v>45756</v>
      </c>
      <c r="M23" s="4">
        <v>3295.88</v>
      </c>
      <c r="N23" s="4">
        <v>4150</v>
      </c>
      <c r="O23" s="5">
        <v>0</v>
      </c>
      <c r="P23" s="5">
        <v>98.13</v>
      </c>
      <c r="Q23" s="6" t="s">
        <v>37</v>
      </c>
      <c r="R23" s="2" t="s">
        <v>25</v>
      </c>
      <c r="S23" s="5">
        <v>98.13</v>
      </c>
      <c r="T23" s="7">
        <v>0.1</v>
      </c>
      <c r="U23" s="5">
        <v>9.81</v>
      </c>
      <c r="V23" s="2"/>
      <c r="W23" s="3">
        <v>45789</v>
      </c>
      <c r="X23" s="8"/>
      <c r="Y23" s="15"/>
    </row>
    <row r="24" spans="2:25" ht="17.100000000000001" customHeight="1" x14ac:dyDescent="0.25">
      <c r="B24" s="14">
        <v>1</v>
      </c>
      <c r="C24" s="3">
        <v>45785</v>
      </c>
      <c r="D24" s="3">
        <v>45764</v>
      </c>
      <c r="E24" s="2">
        <v>210619</v>
      </c>
      <c r="F24" s="2">
        <v>14537</v>
      </c>
      <c r="G24" s="2" t="s">
        <v>38</v>
      </c>
      <c r="H24" s="2"/>
      <c r="I24" s="2">
        <v>225058</v>
      </c>
      <c r="J24" s="2">
        <v>1</v>
      </c>
      <c r="K24" s="2">
        <v>463109</v>
      </c>
      <c r="L24" s="3">
        <v>45786</v>
      </c>
      <c r="M24" s="4">
        <v>37632.480000000003</v>
      </c>
      <c r="N24" s="4">
        <v>41762.49</v>
      </c>
      <c r="O24" s="5">
        <v>1128.03</v>
      </c>
      <c r="P24" s="5">
        <v>0</v>
      </c>
      <c r="Q24" s="6" t="s">
        <v>39</v>
      </c>
      <c r="R24" s="2" t="s">
        <v>25</v>
      </c>
      <c r="S24" s="5">
        <v>1128.03</v>
      </c>
      <c r="T24" s="7">
        <v>0.1</v>
      </c>
      <c r="U24" s="5">
        <v>112.8</v>
      </c>
      <c r="V24" s="2" t="s">
        <v>23</v>
      </c>
      <c r="W24" s="3">
        <v>45812</v>
      </c>
      <c r="X24" s="8"/>
      <c r="Y24" s="15"/>
    </row>
    <row r="25" spans="2:25" ht="17.100000000000001" customHeight="1" x14ac:dyDescent="0.25">
      <c r="B25" s="14">
        <v>1</v>
      </c>
      <c r="C25" s="3">
        <v>45785</v>
      </c>
      <c r="D25" s="3">
        <v>45764</v>
      </c>
      <c r="E25" s="2">
        <v>210619</v>
      </c>
      <c r="F25" s="2">
        <v>14537</v>
      </c>
      <c r="G25" s="2" t="s">
        <v>38</v>
      </c>
      <c r="H25" s="2"/>
      <c r="I25" s="2">
        <v>225058</v>
      </c>
      <c r="J25" s="2">
        <v>1</v>
      </c>
      <c r="K25" s="2">
        <v>463109</v>
      </c>
      <c r="L25" s="3">
        <v>45786</v>
      </c>
      <c r="M25" s="4">
        <v>37632.480000000003</v>
      </c>
      <c r="N25" s="4">
        <v>41762.49</v>
      </c>
      <c r="O25" s="5">
        <v>0</v>
      </c>
      <c r="P25" s="5">
        <v>877.36</v>
      </c>
      <c r="Q25" s="6" t="s">
        <v>39</v>
      </c>
      <c r="R25" s="2" t="s">
        <v>25</v>
      </c>
      <c r="S25" s="5">
        <v>877.36</v>
      </c>
      <c r="T25" s="7">
        <v>0.1</v>
      </c>
      <c r="U25" s="5">
        <v>87.74</v>
      </c>
      <c r="V25" s="2" t="s">
        <v>23</v>
      </c>
      <c r="W25" s="3">
        <v>45812</v>
      </c>
      <c r="X25" s="8"/>
      <c r="Y25" s="15"/>
    </row>
    <row r="26" spans="2:25" ht="17.100000000000001" customHeight="1" x14ac:dyDescent="0.25">
      <c r="B26" s="14">
        <v>1</v>
      </c>
      <c r="C26" s="3">
        <v>45803</v>
      </c>
      <c r="D26" s="3">
        <v>45743</v>
      </c>
      <c r="E26" s="2">
        <v>209827</v>
      </c>
      <c r="F26" s="2">
        <v>4803</v>
      </c>
      <c r="G26" s="2" t="s">
        <v>40</v>
      </c>
      <c r="H26" s="2"/>
      <c r="I26" s="2">
        <v>224088</v>
      </c>
      <c r="J26" s="2">
        <v>1</v>
      </c>
      <c r="K26" s="2">
        <v>463109</v>
      </c>
      <c r="L26" s="3">
        <v>45773</v>
      </c>
      <c r="M26" s="4">
        <v>98624.15</v>
      </c>
      <c r="N26" s="4">
        <v>132000</v>
      </c>
      <c r="O26" s="5">
        <v>0</v>
      </c>
      <c r="P26" s="5">
        <v>2782.51</v>
      </c>
      <c r="Q26" s="6" t="s">
        <v>41</v>
      </c>
      <c r="R26" s="2" t="s">
        <v>25</v>
      </c>
      <c r="S26" s="5">
        <v>2782.51</v>
      </c>
      <c r="T26" s="7">
        <v>0.1</v>
      </c>
      <c r="U26" s="5">
        <v>278.25</v>
      </c>
      <c r="V26" s="2" t="s">
        <v>23</v>
      </c>
      <c r="W26" s="3">
        <v>45812</v>
      </c>
      <c r="X26" s="8"/>
      <c r="Y26" s="15"/>
    </row>
    <row r="27" spans="2:25" ht="17.100000000000001" customHeight="1" x14ac:dyDescent="0.25">
      <c r="B27" s="14">
        <v>1</v>
      </c>
      <c r="C27" s="3">
        <v>45803</v>
      </c>
      <c r="D27" s="3">
        <v>45743</v>
      </c>
      <c r="E27" s="2">
        <v>209827</v>
      </c>
      <c r="F27" s="2">
        <v>4803</v>
      </c>
      <c r="G27" s="2" t="s">
        <v>40</v>
      </c>
      <c r="H27" s="2"/>
      <c r="I27" s="2">
        <v>224088</v>
      </c>
      <c r="J27" s="2">
        <v>1</v>
      </c>
      <c r="K27" s="2">
        <v>463109</v>
      </c>
      <c r="L27" s="3">
        <v>45773</v>
      </c>
      <c r="M27" s="4">
        <v>98624.15</v>
      </c>
      <c r="N27" s="4">
        <v>132000</v>
      </c>
      <c r="O27" s="5">
        <v>2385</v>
      </c>
      <c r="P27" s="5">
        <v>0</v>
      </c>
      <c r="Q27" s="6" t="s">
        <v>41</v>
      </c>
      <c r="R27" s="2" t="s">
        <v>25</v>
      </c>
      <c r="S27" s="5">
        <v>2385</v>
      </c>
      <c r="T27" s="7">
        <v>0.1</v>
      </c>
      <c r="U27" s="5">
        <v>238.5</v>
      </c>
      <c r="V27" s="2" t="s">
        <v>23</v>
      </c>
      <c r="W27" s="3">
        <v>45812</v>
      </c>
      <c r="X27" s="8"/>
      <c r="Y27" s="15"/>
    </row>
    <row r="28" spans="2:25" ht="17.100000000000001" customHeight="1" x14ac:dyDescent="0.25">
      <c r="B28" s="14">
        <v>1</v>
      </c>
      <c r="C28" s="3">
        <v>45817</v>
      </c>
      <c r="D28" s="3">
        <v>45716</v>
      </c>
      <c r="E28" s="2">
        <v>206647</v>
      </c>
      <c r="F28" s="2">
        <v>25688</v>
      </c>
      <c r="G28" s="2" t="s">
        <v>30</v>
      </c>
      <c r="H28" s="2"/>
      <c r="I28" s="2">
        <v>223202</v>
      </c>
      <c r="J28" s="2">
        <v>1</v>
      </c>
      <c r="K28" s="2">
        <v>463109</v>
      </c>
      <c r="L28" s="3">
        <v>45756</v>
      </c>
      <c r="M28" s="4">
        <v>73000</v>
      </c>
      <c r="N28" s="4">
        <v>73000</v>
      </c>
      <c r="O28" s="5">
        <v>3105.44</v>
      </c>
      <c r="P28" s="5">
        <v>0</v>
      </c>
      <c r="Q28" s="6" t="s">
        <v>42</v>
      </c>
      <c r="R28" s="22" t="s">
        <v>33</v>
      </c>
      <c r="S28" s="5">
        <v>1552.72</v>
      </c>
      <c r="T28" s="7">
        <v>0.1</v>
      </c>
      <c r="U28" s="5">
        <v>155.27000000000001</v>
      </c>
      <c r="V28" s="2"/>
      <c r="W28" s="3">
        <v>45848</v>
      </c>
      <c r="X28" s="8"/>
      <c r="Y28" s="15"/>
    </row>
    <row r="29" spans="2:25" ht="17.100000000000001" customHeight="1" x14ac:dyDescent="0.25">
      <c r="B29" s="14">
        <v>1</v>
      </c>
      <c r="C29" s="3">
        <v>45817</v>
      </c>
      <c r="D29" s="3">
        <v>45716</v>
      </c>
      <c r="E29" s="2">
        <v>206647</v>
      </c>
      <c r="F29" s="2">
        <v>25688</v>
      </c>
      <c r="G29" s="2" t="s">
        <v>30</v>
      </c>
      <c r="H29" s="2"/>
      <c r="I29" s="2">
        <v>223202</v>
      </c>
      <c r="J29" s="2">
        <v>1</v>
      </c>
      <c r="K29" s="2">
        <v>463109</v>
      </c>
      <c r="L29" s="3">
        <v>45756</v>
      </c>
      <c r="M29" s="4">
        <v>73000</v>
      </c>
      <c r="N29" s="4">
        <v>73000</v>
      </c>
      <c r="O29" s="5">
        <v>0</v>
      </c>
      <c r="P29" s="5">
        <v>1645.16</v>
      </c>
      <c r="Q29" s="6" t="s">
        <v>42</v>
      </c>
      <c r="R29" s="2" t="s">
        <v>33</v>
      </c>
      <c r="S29" s="5">
        <v>822.58</v>
      </c>
      <c r="T29" s="7">
        <v>0.1</v>
      </c>
      <c r="U29" s="5">
        <v>82.26</v>
      </c>
      <c r="V29" s="2"/>
      <c r="W29" s="3">
        <v>45848</v>
      </c>
      <c r="X29" s="8"/>
      <c r="Y29" s="15"/>
    </row>
    <row r="30" spans="2:25" ht="17.100000000000001" customHeight="1" x14ac:dyDescent="0.25">
      <c r="B30" s="14">
        <v>1</v>
      </c>
      <c r="C30" s="3">
        <v>45817</v>
      </c>
      <c r="D30" s="3">
        <v>45716</v>
      </c>
      <c r="E30" s="2">
        <v>206647</v>
      </c>
      <c r="F30" s="2">
        <v>25688</v>
      </c>
      <c r="G30" s="2" t="s">
        <v>30</v>
      </c>
      <c r="H30" s="2"/>
      <c r="I30" s="2">
        <v>223240</v>
      </c>
      <c r="J30" s="2">
        <v>1</v>
      </c>
      <c r="K30" s="2">
        <v>463109</v>
      </c>
      <c r="L30" s="3">
        <v>45756</v>
      </c>
      <c r="M30" s="4">
        <v>280000</v>
      </c>
      <c r="N30" s="4">
        <v>280000</v>
      </c>
      <c r="O30" s="5">
        <v>11934.08</v>
      </c>
      <c r="P30" s="5">
        <v>0</v>
      </c>
      <c r="Q30" s="6" t="s">
        <v>42</v>
      </c>
      <c r="R30" s="2" t="s">
        <v>33</v>
      </c>
      <c r="S30" s="5">
        <v>5967.04</v>
      </c>
      <c r="T30" s="7">
        <v>0.1</v>
      </c>
      <c r="U30" s="5">
        <v>596.70000000000005</v>
      </c>
      <c r="V30" s="2"/>
      <c r="W30" s="3">
        <v>45848</v>
      </c>
      <c r="X30" s="8"/>
      <c r="Y30" s="15"/>
    </row>
    <row r="31" spans="2:25" ht="17.100000000000001" customHeight="1" x14ac:dyDescent="0.25">
      <c r="B31" s="14">
        <v>1</v>
      </c>
      <c r="C31" s="3">
        <v>45817</v>
      </c>
      <c r="D31" s="3">
        <v>45716</v>
      </c>
      <c r="E31" s="2">
        <v>206647</v>
      </c>
      <c r="F31" s="2">
        <v>25688</v>
      </c>
      <c r="G31" s="2" t="s">
        <v>30</v>
      </c>
      <c r="H31" s="2"/>
      <c r="I31" s="2">
        <v>223240</v>
      </c>
      <c r="J31" s="2">
        <v>1</v>
      </c>
      <c r="K31" s="2">
        <v>463109</v>
      </c>
      <c r="L31" s="3">
        <v>45756</v>
      </c>
      <c r="M31" s="4">
        <v>280000</v>
      </c>
      <c r="N31" s="4">
        <v>280000</v>
      </c>
      <c r="O31" s="5">
        <v>0</v>
      </c>
      <c r="P31" s="5">
        <v>6426.05</v>
      </c>
      <c r="Q31" s="6" t="s">
        <v>42</v>
      </c>
      <c r="R31" s="2" t="s">
        <v>33</v>
      </c>
      <c r="S31" s="5">
        <v>3213.03</v>
      </c>
      <c r="T31" s="7">
        <v>0.1</v>
      </c>
      <c r="U31" s="5">
        <v>321.3</v>
      </c>
      <c r="V31" s="2"/>
      <c r="W31" s="3">
        <v>45848</v>
      </c>
      <c r="X31" s="8"/>
      <c r="Y31" s="15"/>
    </row>
    <row r="32" spans="2:25" ht="17.100000000000001" customHeight="1" x14ac:dyDescent="0.25">
      <c r="B32" s="14">
        <v>1</v>
      </c>
      <c r="C32" s="3">
        <v>45817</v>
      </c>
      <c r="D32" s="3">
        <v>45716</v>
      </c>
      <c r="E32" s="2">
        <v>206647</v>
      </c>
      <c r="F32" s="2">
        <v>25688</v>
      </c>
      <c r="G32" s="2" t="s">
        <v>30</v>
      </c>
      <c r="H32" s="2"/>
      <c r="I32" s="2">
        <v>223201</v>
      </c>
      <c r="J32" s="2">
        <v>1</v>
      </c>
      <c r="K32" s="2">
        <v>463109</v>
      </c>
      <c r="L32" s="3">
        <v>45756</v>
      </c>
      <c r="M32" s="4">
        <v>796337.2</v>
      </c>
      <c r="N32" s="4">
        <v>800000</v>
      </c>
      <c r="O32" s="5">
        <v>0</v>
      </c>
      <c r="P32" s="5">
        <v>18267.79</v>
      </c>
      <c r="Q32" s="6" t="s">
        <v>42</v>
      </c>
      <c r="R32" s="2" t="s">
        <v>33</v>
      </c>
      <c r="S32" s="5">
        <v>9133.9</v>
      </c>
      <c r="T32" s="7">
        <v>0.1</v>
      </c>
      <c r="U32" s="5">
        <v>913.39</v>
      </c>
      <c r="V32" s="2"/>
      <c r="W32" s="3">
        <v>45848</v>
      </c>
      <c r="X32" s="8"/>
      <c r="Y32" s="15"/>
    </row>
    <row r="33" spans="2:25" ht="17.100000000000001" customHeight="1" x14ac:dyDescent="0.25">
      <c r="B33" s="14">
        <v>1</v>
      </c>
      <c r="C33" s="3">
        <v>45817</v>
      </c>
      <c r="D33" s="3">
        <v>45716</v>
      </c>
      <c r="E33" s="2">
        <v>206647</v>
      </c>
      <c r="F33" s="2">
        <v>25688</v>
      </c>
      <c r="G33" s="2" t="s">
        <v>30</v>
      </c>
      <c r="H33" s="2"/>
      <c r="I33" s="2">
        <v>223201</v>
      </c>
      <c r="J33" s="2">
        <v>1</v>
      </c>
      <c r="K33" s="2">
        <v>463109</v>
      </c>
      <c r="L33" s="3">
        <v>45756</v>
      </c>
      <c r="M33" s="4">
        <v>796337.2</v>
      </c>
      <c r="N33" s="4">
        <v>800000</v>
      </c>
      <c r="O33" s="5">
        <v>33925.9</v>
      </c>
      <c r="P33" s="5">
        <v>0</v>
      </c>
      <c r="Q33" s="6" t="s">
        <v>42</v>
      </c>
      <c r="R33" s="2" t="s">
        <v>33</v>
      </c>
      <c r="S33" s="5">
        <v>16962.95</v>
      </c>
      <c r="T33" s="7">
        <v>0.1</v>
      </c>
      <c r="U33" s="5">
        <v>1696.3</v>
      </c>
      <c r="V33" s="2"/>
      <c r="W33" s="3">
        <v>45848</v>
      </c>
      <c r="X33" s="8"/>
      <c r="Y33" s="15"/>
    </row>
    <row r="34" spans="2:25" ht="17.100000000000001" customHeight="1" x14ac:dyDescent="0.25">
      <c r="B34" s="14">
        <v>1</v>
      </c>
      <c r="C34" s="3">
        <v>45833</v>
      </c>
      <c r="D34" s="3">
        <v>45821</v>
      </c>
      <c r="E34" s="2">
        <v>212682</v>
      </c>
      <c r="F34" s="2">
        <v>6080</v>
      </c>
      <c r="G34" s="2" t="s">
        <v>43</v>
      </c>
      <c r="H34" s="2"/>
      <c r="I34" s="2">
        <v>227373</v>
      </c>
      <c r="J34" s="2">
        <v>1</v>
      </c>
      <c r="K34" s="2">
        <v>463109</v>
      </c>
      <c r="L34" s="3">
        <v>45826</v>
      </c>
      <c r="M34" s="4">
        <v>107350.29</v>
      </c>
      <c r="N34" s="4">
        <v>120000</v>
      </c>
      <c r="O34" s="5">
        <v>0</v>
      </c>
      <c r="P34" s="5">
        <v>3098.47</v>
      </c>
      <c r="Q34" s="6" t="s">
        <v>44</v>
      </c>
      <c r="R34" s="2" t="s">
        <v>25</v>
      </c>
      <c r="S34" s="5">
        <v>3098.47</v>
      </c>
      <c r="T34" s="7">
        <v>0.1</v>
      </c>
      <c r="U34" s="5">
        <v>309.85000000000002</v>
      </c>
      <c r="V34" s="2"/>
      <c r="W34" s="3">
        <v>45848</v>
      </c>
      <c r="X34" s="8"/>
      <c r="Y34" s="15"/>
    </row>
    <row r="35" spans="2:25" ht="17.100000000000001" customHeight="1" x14ac:dyDescent="0.25">
      <c r="B35" s="14">
        <v>1</v>
      </c>
      <c r="C35" s="3">
        <v>45833</v>
      </c>
      <c r="D35" s="3">
        <v>45821</v>
      </c>
      <c r="E35" s="2">
        <v>212682</v>
      </c>
      <c r="F35" s="2">
        <v>6080</v>
      </c>
      <c r="G35" s="2" t="s">
        <v>43</v>
      </c>
      <c r="H35" s="2"/>
      <c r="I35" s="2">
        <v>227373</v>
      </c>
      <c r="J35" s="2">
        <v>1</v>
      </c>
      <c r="K35" s="2">
        <v>463109</v>
      </c>
      <c r="L35" s="3">
        <v>45826</v>
      </c>
      <c r="M35" s="4">
        <v>107350.29</v>
      </c>
      <c r="N35" s="4">
        <v>120000</v>
      </c>
      <c r="O35" s="5">
        <v>5754.3</v>
      </c>
      <c r="P35" s="5">
        <v>0</v>
      </c>
      <c r="Q35" s="6" t="s">
        <v>44</v>
      </c>
      <c r="R35" s="2" t="s">
        <v>25</v>
      </c>
      <c r="S35" s="5">
        <v>5754.3</v>
      </c>
      <c r="T35" s="7">
        <v>0.1</v>
      </c>
      <c r="U35" s="5">
        <v>575.42999999999995</v>
      </c>
      <c r="V35" s="2"/>
      <c r="W35" s="3">
        <v>45848</v>
      </c>
      <c r="X35" s="8"/>
      <c r="Y35" s="15"/>
    </row>
    <row r="36" spans="2:25" ht="17.100000000000001" customHeight="1" x14ac:dyDescent="0.25">
      <c r="B36" s="14">
        <v>1</v>
      </c>
      <c r="C36" s="3">
        <v>45828</v>
      </c>
      <c r="D36" s="3">
        <v>45807</v>
      </c>
      <c r="E36" s="2">
        <v>211649</v>
      </c>
      <c r="F36" s="2">
        <v>5386</v>
      </c>
      <c r="G36" s="2" t="s">
        <v>45</v>
      </c>
      <c r="H36" s="2"/>
      <c r="I36" s="2">
        <v>226801</v>
      </c>
      <c r="J36" s="2">
        <v>1</v>
      </c>
      <c r="K36" s="2">
        <v>463109</v>
      </c>
      <c r="L36" s="3">
        <v>45822</v>
      </c>
      <c r="M36" s="4">
        <v>211391.33</v>
      </c>
      <c r="N36" s="4">
        <v>300000</v>
      </c>
      <c r="O36" s="5">
        <v>13740.44</v>
      </c>
      <c r="P36" s="5">
        <v>0</v>
      </c>
      <c r="Q36" s="6" t="s">
        <v>46</v>
      </c>
      <c r="R36" s="2" t="s">
        <v>25</v>
      </c>
      <c r="S36" s="5">
        <v>13740.44</v>
      </c>
      <c r="T36" s="7">
        <v>0.1</v>
      </c>
      <c r="U36" s="5">
        <v>1374.04</v>
      </c>
      <c r="V36" s="2"/>
      <c r="W36" s="3">
        <v>45848</v>
      </c>
      <c r="X36" s="8"/>
      <c r="Y36" s="15"/>
    </row>
    <row r="37" spans="2:25" ht="17.100000000000001" customHeight="1" x14ac:dyDescent="0.25">
      <c r="B37" s="14">
        <v>1</v>
      </c>
      <c r="C37" s="3">
        <v>45828</v>
      </c>
      <c r="D37" s="3">
        <v>45807</v>
      </c>
      <c r="E37" s="2">
        <v>211649</v>
      </c>
      <c r="F37" s="2">
        <v>5386</v>
      </c>
      <c r="G37" s="2" t="s">
        <v>45</v>
      </c>
      <c r="H37" s="2"/>
      <c r="I37" s="2">
        <v>226801</v>
      </c>
      <c r="J37" s="2">
        <v>1</v>
      </c>
      <c r="K37" s="2">
        <v>463109</v>
      </c>
      <c r="L37" s="3">
        <v>45822</v>
      </c>
      <c r="M37" s="4">
        <v>211391.33</v>
      </c>
      <c r="N37" s="4">
        <v>300000</v>
      </c>
      <c r="O37" s="5">
        <v>0</v>
      </c>
      <c r="P37" s="5">
        <v>7398.7</v>
      </c>
      <c r="Q37" s="6" t="s">
        <v>46</v>
      </c>
      <c r="R37" s="2" t="s">
        <v>25</v>
      </c>
      <c r="S37" s="5">
        <v>7398.7</v>
      </c>
      <c r="T37" s="7">
        <v>0.1</v>
      </c>
      <c r="U37" s="5">
        <v>739.87</v>
      </c>
      <c r="V37" s="2"/>
      <c r="W37" s="3">
        <v>45848</v>
      </c>
      <c r="X37" s="8"/>
      <c r="Y37" s="15"/>
    </row>
    <row r="38" spans="2:25" ht="17.100000000000001" customHeight="1" x14ac:dyDescent="0.25">
      <c r="B38" s="14">
        <v>1</v>
      </c>
      <c r="C38" s="3">
        <v>45824</v>
      </c>
      <c r="D38" s="3">
        <v>45813</v>
      </c>
      <c r="E38" s="2">
        <v>212756</v>
      </c>
      <c r="F38" s="2">
        <v>5196</v>
      </c>
      <c r="G38" s="2" t="s">
        <v>47</v>
      </c>
      <c r="H38" s="2"/>
      <c r="I38" s="2">
        <v>227043</v>
      </c>
      <c r="J38" s="2">
        <v>1</v>
      </c>
      <c r="K38" s="2">
        <v>463109</v>
      </c>
      <c r="L38" s="3">
        <v>45823</v>
      </c>
      <c r="M38" s="4">
        <v>3621.49</v>
      </c>
      <c r="N38" s="4">
        <v>4560</v>
      </c>
      <c r="O38" s="5">
        <v>200.24</v>
      </c>
      <c r="P38" s="5">
        <v>0</v>
      </c>
      <c r="Q38" s="6" t="s">
        <v>48</v>
      </c>
      <c r="R38" s="2" t="s">
        <v>25</v>
      </c>
      <c r="S38" s="5">
        <v>200.24</v>
      </c>
      <c r="T38" s="7">
        <v>0.1</v>
      </c>
      <c r="U38" s="5">
        <v>20.02</v>
      </c>
      <c r="V38" s="2"/>
      <c r="W38" s="3">
        <v>45848</v>
      </c>
      <c r="X38" s="8"/>
      <c r="Y38" s="15"/>
    </row>
    <row r="39" spans="2:25" ht="17.100000000000001" customHeight="1" x14ac:dyDescent="0.25">
      <c r="B39" s="14">
        <v>1</v>
      </c>
      <c r="C39" s="3">
        <v>45824</v>
      </c>
      <c r="D39" s="3">
        <v>45813</v>
      </c>
      <c r="E39" s="2">
        <v>212756</v>
      </c>
      <c r="F39" s="2">
        <v>5196</v>
      </c>
      <c r="G39" s="2" t="s">
        <v>47</v>
      </c>
      <c r="H39" s="2"/>
      <c r="I39" s="2">
        <v>227043</v>
      </c>
      <c r="J39" s="2">
        <v>1</v>
      </c>
      <c r="K39" s="2">
        <v>463109</v>
      </c>
      <c r="L39" s="3">
        <v>45823</v>
      </c>
      <c r="M39" s="4">
        <v>3621.49</v>
      </c>
      <c r="N39" s="4">
        <v>4560</v>
      </c>
      <c r="O39" s="5">
        <v>0</v>
      </c>
      <c r="P39" s="5">
        <v>107.82</v>
      </c>
      <c r="Q39" s="6" t="s">
        <v>48</v>
      </c>
      <c r="R39" s="2" t="s">
        <v>25</v>
      </c>
      <c r="S39" s="5">
        <v>107.82</v>
      </c>
      <c r="T39" s="7">
        <v>0.1</v>
      </c>
      <c r="U39" s="5">
        <v>10.78</v>
      </c>
      <c r="V39" s="2"/>
      <c r="W39" s="3">
        <v>45848</v>
      </c>
      <c r="X39" s="8"/>
      <c r="Y39" s="15"/>
    </row>
    <row r="40" spans="2:25" ht="17.100000000000001" customHeight="1" x14ac:dyDescent="0.25">
      <c r="B40" s="14">
        <v>1</v>
      </c>
      <c r="C40" s="3">
        <v>45839</v>
      </c>
      <c r="D40" s="3">
        <v>45838</v>
      </c>
      <c r="E40" s="2">
        <v>212493</v>
      </c>
      <c r="F40" s="2">
        <v>4714</v>
      </c>
      <c r="G40" s="2" t="s">
        <v>49</v>
      </c>
      <c r="H40" s="2"/>
      <c r="I40" s="2">
        <v>228054</v>
      </c>
      <c r="J40" s="2">
        <v>1</v>
      </c>
      <c r="K40" s="2">
        <v>463109</v>
      </c>
      <c r="L40" s="3">
        <v>45838</v>
      </c>
      <c r="M40" s="4">
        <v>192127.62</v>
      </c>
      <c r="N40" s="4">
        <v>244000</v>
      </c>
      <c r="O40" s="5">
        <v>0</v>
      </c>
      <c r="P40" s="5">
        <v>6724.47</v>
      </c>
      <c r="Q40" s="6" t="s">
        <v>50</v>
      </c>
      <c r="R40" s="2" t="s">
        <v>25</v>
      </c>
      <c r="S40" s="5">
        <v>6724.47</v>
      </c>
      <c r="T40" s="7">
        <v>0.1</v>
      </c>
      <c r="U40" s="5">
        <v>672.45</v>
      </c>
      <c r="V40" s="2"/>
      <c r="W40" s="3">
        <v>45875</v>
      </c>
      <c r="X40" s="8"/>
      <c r="Y40" s="15"/>
    </row>
    <row r="41" spans="2:25" ht="17.100000000000001" customHeight="1" x14ac:dyDescent="0.25">
      <c r="B41" s="14">
        <v>1</v>
      </c>
      <c r="C41" s="3">
        <v>45839</v>
      </c>
      <c r="D41" s="3">
        <v>45838</v>
      </c>
      <c r="E41" s="2">
        <v>212493</v>
      </c>
      <c r="F41" s="2">
        <v>4714</v>
      </c>
      <c r="G41" s="2" t="s">
        <v>49</v>
      </c>
      <c r="H41" s="2"/>
      <c r="I41" s="2">
        <v>228054</v>
      </c>
      <c r="J41" s="2">
        <v>1</v>
      </c>
      <c r="K41" s="2">
        <v>463109</v>
      </c>
      <c r="L41" s="3">
        <v>45838</v>
      </c>
      <c r="M41" s="4">
        <v>192127.62</v>
      </c>
      <c r="N41" s="4">
        <v>244000</v>
      </c>
      <c r="O41" s="5">
        <v>12488.29</v>
      </c>
      <c r="P41" s="5">
        <v>0</v>
      </c>
      <c r="Q41" s="6" t="s">
        <v>50</v>
      </c>
      <c r="R41" s="2" t="s">
        <v>25</v>
      </c>
      <c r="S41" s="5">
        <v>12488.29</v>
      </c>
      <c r="T41" s="7">
        <v>0.1</v>
      </c>
      <c r="U41" s="5">
        <v>1248.83</v>
      </c>
      <c r="V41" s="2"/>
      <c r="W41" s="3">
        <v>45875</v>
      </c>
      <c r="X41" s="8"/>
      <c r="Y41" s="15"/>
    </row>
    <row r="42" spans="2:25" ht="17.100000000000001" customHeight="1" x14ac:dyDescent="0.25">
      <c r="B42" s="14">
        <v>1</v>
      </c>
      <c r="C42" s="3">
        <v>45841</v>
      </c>
      <c r="D42" s="3">
        <v>45813</v>
      </c>
      <c r="E42" s="2">
        <v>212657</v>
      </c>
      <c r="F42" s="2">
        <v>1114</v>
      </c>
      <c r="G42" s="2" t="s">
        <v>51</v>
      </c>
      <c r="H42" s="2"/>
      <c r="I42" s="2">
        <v>227035</v>
      </c>
      <c r="J42" s="2">
        <v>1</v>
      </c>
      <c r="K42" s="2">
        <v>463109</v>
      </c>
      <c r="L42" s="3">
        <v>45841</v>
      </c>
      <c r="M42" s="4">
        <v>937.15</v>
      </c>
      <c r="N42" s="4">
        <v>1180</v>
      </c>
      <c r="O42" s="5">
        <v>51.82</v>
      </c>
      <c r="P42" s="5">
        <v>0</v>
      </c>
      <c r="Q42" s="6" t="s">
        <v>52</v>
      </c>
      <c r="R42" s="2" t="s">
        <v>25</v>
      </c>
      <c r="S42" s="5">
        <v>51.82</v>
      </c>
      <c r="T42" s="7">
        <v>0.1</v>
      </c>
      <c r="U42" s="5">
        <v>5.18</v>
      </c>
      <c r="V42" s="2"/>
      <c r="W42" s="3">
        <v>45875</v>
      </c>
      <c r="X42" s="8"/>
      <c r="Y42" s="15"/>
    </row>
    <row r="43" spans="2:25" ht="17.100000000000001" customHeight="1" x14ac:dyDescent="0.25">
      <c r="B43" s="14">
        <v>1</v>
      </c>
      <c r="C43" s="3">
        <v>45841</v>
      </c>
      <c r="D43" s="3">
        <v>45813</v>
      </c>
      <c r="E43" s="2">
        <v>212657</v>
      </c>
      <c r="F43" s="2">
        <v>1114</v>
      </c>
      <c r="G43" s="2" t="s">
        <v>51</v>
      </c>
      <c r="H43" s="2"/>
      <c r="I43" s="2">
        <v>227035</v>
      </c>
      <c r="J43" s="2">
        <v>1</v>
      </c>
      <c r="K43" s="2">
        <v>463109</v>
      </c>
      <c r="L43" s="3">
        <v>45841</v>
      </c>
      <c r="M43" s="4">
        <v>937.15</v>
      </c>
      <c r="N43" s="4">
        <v>1180</v>
      </c>
      <c r="O43" s="5">
        <v>0</v>
      </c>
      <c r="P43" s="5">
        <v>27.9</v>
      </c>
      <c r="Q43" s="6" t="s">
        <v>52</v>
      </c>
      <c r="R43" s="2" t="s">
        <v>25</v>
      </c>
      <c r="S43" s="5">
        <v>27.9</v>
      </c>
      <c r="T43" s="7">
        <v>0.1</v>
      </c>
      <c r="U43" s="5">
        <v>2.79</v>
      </c>
      <c r="V43" s="2"/>
      <c r="W43" s="3">
        <v>45875</v>
      </c>
      <c r="X43" s="8"/>
      <c r="Y43" s="15"/>
    </row>
    <row r="44" spans="2:25" ht="17.100000000000001" customHeight="1" x14ac:dyDescent="0.25">
      <c r="B44" s="14">
        <v>1</v>
      </c>
      <c r="C44" s="3">
        <v>45866</v>
      </c>
      <c r="D44" s="3">
        <v>45756</v>
      </c>
      <c r="E44" s="2">
        <v>208838</v>
      </c>
      <c r="F44" s="2">
        <v>5421</v>
      </c>
      <c r="G44" s="2" t="s">
        <v>36</v>
      </c>
      <c r="H44" s="2"/>
      <c r="I44" s="2">
        <v>224711</v>
      </c>
      <c r="J44" s="2">
        <v>3</v>
      </c>
      <c r="K44" s="2">
        <v>463109</v>
      </c>
      <c r="L44" s="3">
        <v>45775</v>
      </c>
      <c r="M44" s="4">
        <v>3295.89</v>
      </c>
      <c r="N44" s="4">
        <v>4150</v>
      </c>
      <c r="O44" s="5">
        <v>0</v>
      </c>
      <c r="P44" s="5">
        <v>98.13</v>
      </c>
      <c r="Q44" s="6" t="s">
        <v>53</v>
      </c>
      <c r="R44" s="2" t="s">
        <v>25</v>
      </c>
      <c r="S44" s="5">
        <v>98.13</v>
      </c>
      <c r="T44" s="7">
        <v>0.1</v>
      </c>
      <c r="U44" s="5">
        <v>9.81</v>
      </c>
      <c r="V44" s="2"/>
      <c r="W44" s="3">
        <v>45875</v>
      </c>
      <c r="X44" s="8"/>
      <c r="Y44" s="15"/>
    </row>
    <row r="45" spans="2:25" ht="17.100000000000001" customHeight="1" x14ac:dyDescent="0.25">
      <c r="B45" s="14">
        <v>1</v>
      </c>
      <c r="C45" s="3">
        <v>45856</v>
      </c>
      <c r="D45" s="3">
        <v>45821</v>
      </c>
      <c r="E45" s="2">
        <v>212682</v>
      </c>
      <c r="F45" s="2">
        <v>6080</v>
      </c>
      <c r="G45" s="2" t="s">
        <v>43</v>
      </c>
      <c r="H45" s="2"/>
      <c r="I45" s="2">
        <v>227373</v>
      </c>
      <c r="J45" s="2">
        <v>2</v>
      </c>
      <c r="K45" s="2">
        <v>463109</v>
      </c>
      <c r="L45" s="3">
        <v>45851</v>
      </c>
      <c r="M45" s="4">
        <v>22364.65</v>
      </c>
      <c r="N45" s="4">
        <v>25000</v>
      </c>
      <c r="O45" s="5">
        <v>1198.81</v>
      </c>
      <c r="P45" s="5">
        <v>0</v>
      </c>
      <c r="Q45" s="6" t="s">
        <v>44</v>
      </c>
      <c r="R45" s="2" t="s">
        <v>25</v>
      </c>
      <c r="S45" s="5">
        <v>1198.81</v>
      </c>
      <c r="T45" s="7">
        <v>0.1</v>
      </c>
      <c r="U45" s="5">
        <v>119.88</v>
      </c>
      <c r="V45" s="2"/>
      <c r="W45" s="3">
        <v>45875</v>
      </c>
      <c r="X45" s="8"/>
      <c r="Y45" s="15"/>
    </row>
    <row r="46" spans="2:25" ht="17.100000000000001" customHeight="1" x14ac:dyDescent="0.25">
      <c r="B46" s="14">
        <v>1</v>
      </c>
      <c r="C46" s="3">
        <v>45854</v>
      </c>
      <c r="D46" s="3">
        <v>45807</v>
      </c>
      <c r="E46" s="2">
        <v>212451</v>
      </c>
      <c r="F46" s="2">
        <v>20277</v>
      </c>
      <c r="G46" s="2" t="s">
        <v>54</v>
      </c>
      <c r="H46" s="2"/>
      <c r="I46" s="2">
        <v>226795</v>
      </c>
      <c r="J46" s="2">
        <v>1</v>
      </c>
      <c r="K46" s="2">
        <v>463109</v>
      </c>
      <c r="L46" s="3">
        <v>45837</v>
      </c>
      <c r="M46" s="4">
        <v>90487.679999999993</v>
      </c>
      <c r="N46" s="4">
        <v>146600</v>
      </c>
      <c r="O46" s="5">
        <v>0</v>
      </c>
      <c r="P46" s="5">
        <v>3167.07</v>
      </c>
      <c r="Q46" s="6" t="s">
        <v>55</v>
      </c>
      <c r="R46" s="2" t="s">
        <v>25</v>
      </c>
      <c r="S46" s="5">
        <v>3167.07</v>
      </c>
      <c r="T46" s="7">
        <v>0.1</v>
      </c>
      <c r="U46" s="5">
        <v>316.70999999999998</v>
      </c>
      <c r="V46" s="2"/>
      <c r="W46" s="3">
        <v>45875</v>
      </c>
      <c r="X46" s="8"/>
      <c r="Y46" s="15"/>
    </row>
    <row r="47" spans="2:25" ht="17.100000000000001" customHeight="1" x14ac:dyDescent="0.25">
      <c r="B47" s="14">
        <v>1</v>
      </c>
      <c r="C47" s="3">
        <v>45854</v>
      </c>
      <c r="D47" s="3">
        <v>45807</v>
      </c>
      <c r="E47" s="2">
        <v>212451</v>
      </c>
      <c r="F47" s="2">
        <v>20277</v>
      </c>
      <c r="G47" s="2" t="s">
        <v>54</v>
      </c>
      <c r="H47" s="2"/>
      <c r="I47" s="2">
        <v>226795</v>
      </c>
      <c r="J47" s="2">
        <v>1</v>
      </c>
      <c r="K47" s="2">
        <v>463109</v>
      </c>
      <c r="L47" s="3">
        <v>45837</v>
      </c>
      <c r="M47" s="4">
        <v>90487.679999999993</v>
      </c>
      <c r="N47" s="4">
        <v>146600</v>
      </c>
      <c r="O47" s="5">
        <v>2714.63</v>
      </c>
      <c r="P47" s="5">
        <v>0</v>
      </c>
      <c r="Q47" s="6" t="s">
        <v>55</v>
      </c>
      <c r="R47" s="2" t="s">
        <v>25</v>
      </c>
      <c r="S47" s="5">
        <v>2714.63</v>
      </c>
      <c r="T47" s="7">
        <v>0.1</v>
      </c>
      <c r="U47" s="5">
        <v>271.45999999999998</v>
      </c>
      <c r="V47" s="2"/>
      <c r="W47" s="3">
        <v>45875</v>
      </c>
      <c r="X47" s="8"/>
      <c r="Y47" s="15"/>
    </row>
    <row r="48" spans="2:25" ht="17.100000000000001" customHeight="1" x14ac:dyDescent="0.25">
      <c r="B48" s="14">
        <v>1</v>
      </c>
      <c r="C48" s="3">
        <v>45867</v>
      </c>
      <c r="D48" s="3">
        <v>45820</v>
      </c>
      <c r="E48" s="2">
        <v>212654</v>
      </c>
      <c r="F48" s="2">
        <v>6896</v>
      </c>
      <c r="G48" s="2" t="s">
        <v>56</v>
      </c>
      <c r="H48" s="2"/>
      <c r="I48" s="2">
        <v>227323</v>
      </c>
      <c r="J48" s="2">
        <v>2</v>
      </c>
      <c r="K48" s="2">
        <v>463109</v>
      </c>
      <c r="L48" s="3">
        <v>45865</v>
      </c>
      <c r="M48" s="4">
        <v>28689.17</v>
      </c>
      <c r="N48" s="4">
        <v>31457.5</v>
      </c>
      <c r="O48" s="5">
        <v>1617.55</v>
      </c>
      <c r="P48" s="5">
        <v>0</v>
      </c>
      <c r="Q48" s="6" t="s">
        <v>57</v>
      </c>
      <c r="R48" s="2" t="s">
        <v>25</v>
      </c>
      <c r="S48" s="5">
        <v>1617.55</v>
      </c>
      <c r="T48" s="7">
        <v>0.1</v>
      </c>
      <c r="U48" s="5">
        <v>161.76</v>
      </c>
      <c r="V48" s="2"/>
      <c r="W48" s="3">
        <v>45875</v>
      </c>
      <c r="X48" s="8"/>
      <c r="Y48" s="15"/>
    </row>
    <row r="49" spans="2:25" ht="17.100000000000001" customHeight="1" x14ac:dyDescent="0.25">
      <c r="B49" s="14">
        <v>1</v>
      </c>
      <c r="C49" s="3">
        <v>45867</v>
      </c>
      <c r="D49" s="3">
        <v>45820</v>
      </c>
      <c r="E49" s="2">
        <v>212654</v>
      </c>
      <c r="F49" s="2">
        <v>6896</v>
      </c>
      <c r="G49" s="2" t="s">
        <v>56</v>
      </c>
      <c r="H49" s="2"/>
      <c r="I49" s="2">
        <v>227323</v>
      </c>
      <c r="J49" s="2">
        <v>2</v>
      </c>
      <c r="K49" s="2">
        <v>463109</v>
      </c>
      <c r="L49" s="3">
        <v>45865</v>
      </c>
      <c r="M49" s="4">
        <v>28689.17</v>
      </c>
      <c r="N49" s="4">
        <v>31457.5</v>
      </c>
      <c r="O49" s="5">
        <v>0</v>
      </c>
      <c r="P49" s="5">
        <v>870.99</v>
      </c>
      <c r="Q49" s="6" t="s">
        <v>57</v>
      </c>
      <c r="R49" s="2" t="s">
        <v>25</v>
      </c>
      <c r="S49" s="5">
        <v>870.99</v>
      </c>
      <c r="T49" s="7">
        <v>0.1</v>
      </c>
      <c r="U49" s="5">
        <v>87.1</v>
      </c>
      <c r="V49" s="2"/>
      <c r="W49" s="3">
        <v>45875</v>
      </c>
      <c r="X49" s="8"/>
      <c r="Y49" s="15"/>
    </row>
    <row r="50" spans="2:25" ht="17.100000000000001" customHeight="1" x14ac:dyDescent="0.25">
      <c r="B50" s="14">
        <v>1</v>
      </c>
      <c r="C50" s="3">
        <v>45866</v>
      </c>
      <c r="D50" s="3">
        <v>45756</v>
      </c>
      <c r="E50" s="2">
        <v>208838</v>
      </c>
      <c r="F50" s="2">
        <v>5421</v>
      </c>
      <c r="G50" s="2" t="s">
        <v>36</v>
      </c>
      <c r="H50" s="2"/>
      <c r="I50" s="2">
        <v>224711</v>
      </c>
      <c r="J50" s="2">
        <v>3</v>
      </c>
      <c r="K50" s="2">
        <v>463109</v>
      </c>
      <c r="L50" s="3">
        <v>45775</v>
      </c>
      <c r="M50" s="4">
        <v>3295.89</v>
      </c>
      <c r="N50" s="4">
        <v>4150</v>
      </c>
      <c r="O50" s="5">
        <v>182.24</v>
      </c>
      <c r="P50" s="5">
        <v>0</v>
      </c>
      <c r="Q50" s="6" t="s">
        <v>53</v>
      </c>
      <c r="R50" s="2" t="s">
        <v>25</v>
      </c>
      <c r="S50" s="5">
        <v>182.24</v>
      </c>
      <c r="T50" s="7">
        <v>0.1</v>
      </c>
      <c r="U50" s="5">
        <v>18.22</v>
      </c>
      <c r="V50" s="2"/>
      <c r="W50" s="3">
        <v>45875</v>
      </c>
      <c r="X50" s="8"/>
      <c r="Y50" s="15"/>
    </row>
    <row r="51" spans="2:25" ht="17.100000000000001" customHeight="1" x14ac:dyDescent="0.25">
      <c r="B51" s="14">
        <v>1</v>
      </c>
      <c r="C51" s="3">
        <v>45869</v>
      </c>
      <c r="D51" s="3">
        <v>45868</v>
      </c>
      <c r="E51" s="2">
        <v>214519</v>
      </c>
      <c r="F51" s="2">
        <v>4573</v>
      </c>
      <c r="G51" s="2" t="s">
        <v>58</v>
      </c>
      <c r="H51" s="2"/>
      <c r="I51" s="2">
        <v>229333</v>
      </c>
      <c r="J51" s="2">
        <v>1</v>
      </c>
      <c r="K51" s="2">
        <v>463109</v>
      </c>
      <c r="L51" s="3">
        <v>45868</v>
      </c>
      <c r="M51" s="4">
        <v>39447.589999999997</v>
      </c>
      <c r="N51" s="4">
        <v>44440</v>
      </c>
      <c r="O51" s="5">
        <v>0</v>
      </c>
      <c r="P51" s="5">
        <v>1145.73</v>
      </c>
      <c r="Q51" s="6" t="s">
        <v>59</v>
      </c>
      <c r="R51" s="2" t="s">
        <v>25</v>
      </c>
      <c r="S51" s="5">
        <v>1145.73</v>
      </c>
      <c r="T51" s="7">
        <v>0.1</v>
      </c>
      <c r="U51" s="5">
        <v>114.57</v>
      </c>
      <c r="V51" s="2"/>
      <c r="W51" s="3">
        <v>45875</v>
      </c>
      <c r="X51" s="8"/>
      <c r="Y51" s="15"/>
    </row>
    <row r="52" spans="2:25" ht="17.100000000000001" customHeight="1" x14ac:dyDescent="0.25">
      <c r="B52" s="14">
        <v>1</v>
      </c>
      <c r="C52" s="3">
        <v>45869</v>
      </c>
      <c r="D52" s="3">
        <v>45868</v>
      </c>
      <c r="E52" s="2">
        <v>214519</v>
      </c>
      <c r="F52" s="2">
        <v>4573</v>
      </c>
      <c r="G52" s="2" t="s">
        <v>58</v>
      </c>
      <c r="H52" s="2"/>
      <c r="I52" s="2">
        <v>229333</v>
      </c>
      <c r="J52" s="2">
        <v>1</v>
      </c>
      <c r="K52" s="2">
        <v>463109</v>
      </c>
      <c r="L52" s="3">
        <v>45868</v>
      </c>
      <c r="M52" s="4">
        <v>39447.589999999997</v>
      </c>
      <c r="N52" s="4">
        <v>44440</v>
      </c>
      <c r="O52" s="5">
        <v>1800.43</v>
      </c>
      <c r="P52" s="5">
        <v>0</v>
      </c>
      <c r="Q52" s="6" t="s">
        <v>59</v>
      </c>
      <c r="R52" s="2" t="s">
        <v>25</v>
      </c>
      <c r="S52" s="5">
        <v>1800.43</v>
      </c>
      <c r="T52" s="7">
        <v>0.1</v>
      </c>
      <c r="U52" s="5">
        <v>180.04</v>
      </c>
      <c r="V52" s="2"/>
      <c r="W52" s="3">
        <v>45875</v>
      </c>
      <c r="X52" s="8"/>
      <c r="Y52" s="15"/>
    </row>
    <row r="53" spans="2:25" ht="17.100000000000001" customHeight="1" x14ac:dyDescent="0.25">
      <c r="B53" s="14">
        <v>1</v>
      </c>
      <c r="C53" s="3">
        <v>45856</v>
      </c>
      <c r="D53" s="3">
        <v>45821</v>
      </c>
      <c r="E53" s="2">
        <v>212682</v>
      </c>
      <c r="F53" s="2">
        <v>6080</v>
      </c>
      <c r="G53" s="2" t="s">
        <v>43</v>
      </c>
      <c r="H53" s="2"/>
      <c r="I53" s="2">
        <v>227373</v>
      </c>
      <c r="J53" s="2">
        <v>2</v>
      </c>
      <c r="K53" s="2">
        <v>463109</v>
      </c>
      <c r="L53" s="3">
        <v>45851</v>
      </c>
      <c r="M53" s="4">
        <v>22364.65</v>
      </c>
      <c r="N53" s="4">
        <v>25000</v>
      </c>
      <c r="O53" s="5">
        <v>0</v>
      </c>
      <c r="P53" s="5">
        <v>645.51</v>
      </c>
      <c r="Q53" s="6" t="s">
        <v>44</v>
      </c>
      <c r="R53" s="2" t="s">
        <v>25</v>
      </c>
      <c r="S53" s="5">
        <v>645.51</v>
      </c>
      <c r="T53" s="7">
        <v>0.1</v>
      </c>
      <c r="U53" s="5">
        <v>64.55</v>
      </c>
      <c r="V53" s="2"/>
      <c r="W53" s="3">
        <v>45875</v>
      </c>
      <c r="X53" s="8"/>
      <c r="Y53" s="15"/>
    </row>
    <row r="54" spans="2:25" ht="17.100000000000001" customHeight="1" x14ac:dyDescent="0.25">
      <c r="B54" s="14">
        <v>1</v>
      </c>
      <c r="C54" s="2"/>
      <c r="D54" s="3">
        <v>45821</v>
      </c>
      <c r="E54" s="2">
        <v>212682</v>
      </c>
      <c r="F54" s="2">
        <v>6080</v>
      </c>
      <c r="G54" s="2" t="s">
        <v>43</v>
      </c>
      <c r="H54" s="2"/>
      <c r="I54" s="2">
        <v>227373</v>
      </c>
      <c r="J54" s="2">
        <v>3</v>
      </c>
      <c r="K54" s="2">
        <v>463109</v>
      </c>
      <c r="L54" s="3">
        <v>45881</v>
      </c>
      <c r="M54" s="4">
        <v>17891.71</v>
      </c>
      <c r="N54" s="4">
        <v>20000</v>
      </c>
      <c r="O54" s="5">
        <v>959.05</v>
      </c>
      <c r="P54" s="5">
        <v>0</v>
      </c>
      <c r="Q54" s="6" t="s">
        <v>44</v>
      </c>
      <c r="R54" s="2" t="s">
        <v>60</v>
      </c>
      <c r="S54" s="5">
        <v>959.05</v>
      </c>
      <c r="T54" s="7">
        <v>0.1</v>
      </c>
      <c r="U54" s="5">
        <v>95.91</v>
      </c>
      <c r="V54" s="2"/>
      <c r="W54" s="3">
        <v>45905</v>
      </c>
      <c r="X54" s="8"/>
      <c r="Y54" s="15"/>
    </row>
    <row r="55" spans="2:25" ht="17.100000000000001" customHeight="1" x14ac:dyDescent="0.25">
      <c r="B55" s="14">
        <v>1</v>
      </c>
      <c r="C55" s="2"/>
      <c r="D55" s="3">
        <v>45869</v>
      </c>
      <c r="E55" s="2">
        <v>215053</v>
      </c>
      <c r="F55" s="2">
        <v>20620</v>
      </c>
      <c r="G55" s="2" t="s">
        <v>22</v>
      </c>
      <c r="H55" s="2"/>
      <c r="I55" s="2">
        <v>229399</v>
      </c>
      <c r="J55" s="2">
        <v>1</v>
      </c>
      <c r="K55" s="2">
        <v>463109</v>
      </c>
      <c r="L55" s="3">
        <v>45874</v>
      </c>
      <c r="M55" s="4">
        <v>8418.4</v>
      </c>
      <c r="N55" s="4">
        <v>10600</v>
      </c>
      <c r="O55" s="5">
        <v>0</v>
      </c>
      <c r="P55" s="5">
        <v>246.93</v>
      </c>
      <c r="Q55" s="6" t="s">
        <v>61</v>
      </c>
      <c r="R55" s="2" t="s">
        <v>60</v>
      </c>
      <c r="S55" s="5">
        <v>246.93</v>
      </c>
      <c r="T55" s="7">
        <v>0.1</v>
      </c>
      <c r="U55" s="5">
        <v>24.69</v>
      </c>
      <c r="V55" s="2"/>
      <c r="W55" s="3">
        <v>45905</v>
      </c>
      <c r="X55" s="8"/>
      <c r="Y55" s="15"/>
    </row>
    <row r="56" spans="2:25" ht="17.100000000000001" customHeight="1" x14ac:dyDescent="0.25">
      <c r="B56" s="14">
        <v>1</v>
      </c>
      <c r="C56" s="2"/>
      <c r="D56" s="3">
        <v>45869</v>
      </c>
      <c r="E56" s="2">
        <v>215053</v>
      </c>
      <c r="F56" s="2">
        <v>20620</v>
      </c>
      <c r="G56" s="2" t="s">
        <v>22</v>
      </c>
      <c r="H56" s="2"/>
      <c r="I56" s="2">
        <v>229399</v>
      </c>
      <c r="J56" s="2">
        <v>1</v>
      </c>
      <c r="K56" s="2">
        <v>463109</v>
      </c>
      <c r="L56" s="3">
        <v>45874</v>
      </c>
      <c r="M56" s="4">
        <v>8418.4</v>
      </c>
      <c r="N56" s="4">
        <v>10600</v>
      </c>
      <c r="O56" s="5">
        <v>458.59</v>
      </c>
      <c r="P56" s="5">
        <v>0</v>
      </c>
      <c r="Q56" s="6" t="s">
        <v>61</v>
      </c>
      <c r="R56" s="2" t="s">
        <v>60</v>
      </c>
      <c r="S56" s="5">
        <v>458.59</v>
      </c>
      <c r="T56" s="7">
        <v>0.1</v>
      </c>
      <c r="U56" s="5">
        <v>45.86</v>
      </c>
      <c r="V56" s="2"/>
      <c r="W56" s="3">
        <v>45905</v>
      </c>
      <c r="X56" s="8"/>
      <c r="Y56" s="15"/>
    </row>
    <row r="57" spans="2:25" ht="17.100000000000001" customHeight="1" x14ac:dyDescent="0.25">
      <c r="B57" s="14">
        <v>1</v>
      </c>
      <c r="C57" s="2"/>
      <c r="D57" s="3">
        <v>45821</v>
      </c>
      <c r="E57" s="2">
        <v>212682</v>
      </c>
      <c r="F57" s="2">
        <v>6080</v>
      </c>
      <c r="G57" s="2" t="s">
        <v>43</v>
      </c>
      <c r="H57" s="2"/>
      <c r="I57" s="2">
        <v>227373</v>
      </c>
      <c r="J57" s="2">
        <v>3</v>
      </c>
      <c r="K57" s="2">
        <v>463109</v>
      </c>
      <c r="L57" s="3">
        <v>45881</v>
      </c>
      <c r="M57" s="4">
        <v>17891.71</v>
      </c>
      <c r="N57" s="4">
        <v>20000</v>
      </c>
      <c r="O57" s="5">
        <v>0</v>
      </c>
      <c r="P57" s="5">
        <v>516.41</v>
      </c>
      <c r="Q57" s="6" t="s">
        <v>44</v>
      </c>
      <c r="R57" s="2" t="s">
        <v>60</v>
      </c>
      <c r="S57" s="5">
        <v>516.41</v>
      </c>
      <c r="T57" s="7">
        <v>0.1</v>
      </c>
      <c r="U57" s="5">
        <v>51.64</v>
      </c>
      <c r="V57" s="2"/>
      <c r="W57" s="3">
        <v>45905</v>
      </c>
      <c r="X57" s="8"/>
      <c r="Y57" s="15"/>
    </row>
    <row r="58" spans="2:25" ht="17.100000000000001" customHeight="1" x14ac:dyDescent="0.25">
      <c r="B58" s="14">
        <v>1</v>
      </c>
      <c r="C58" s="2"/>
      <c r="D58" s="3">
        <v>45856</v>
      </c>
      <c r="E58" s="2">
        <v>214690</v>
      </c>
      <c r="F58" s="2">
        <v>1114</v>
      </c>
      <c r="G58" s="2" t="s">
        <v>51</v>
      </c>
      <c r="H58" s="2"/>
      <c r="I58" s="2">
        <v>228818</v>
      </c>
      <c r="J58" s="2">
        <v>1</v>
      </c>
      <c r="K58" s="2">
        <v>463109</v>
      </c>
      <c r="L58" s="3">
        <v>45884</v>
      </c>
      <c r="M58" s="4">
        <v>1048.33</v>
      </c>
      <c r="N58" s="4">
        <v>1320</v>
      </c>
      <c r="O58" s="5">
        <v>57.11</v>
      </c>
      <c r="P58" s="5">
        <v>0</v>
      </c>
      <c r="Q58" s="6" t="s">
        <v>52</v>
      </c>
      <c r="R58" s="2" t="s">
        <v>60</v>
      </c>
      <c r="S58" s="5">
        <v>57.11</v>
      </c>
      <c r="T58" s="7">
        <v>0.1</v>
      </c>
      <c r="U58" s="5">
        <v>5.71</v>
      </c>
      <c r="V58" s="2"/>
      <c r="W58" s="3">
        <v>45905</v>
      </c>
      <c r="X58" s="8"/>
      <c r="Y58" s="15"/>
    </row>
    <row r="59" spans="2:25" ht="17.100000000000001" customHeight="1" x14ac:dyDescent="0.25">
      <c r="B59" s="14">
        <v>1</v>
      </c>
      <c r="C59" s="2"/>
      <c r="D59" s="3">
        <v>45856</v>
      </c>
      <c r="E59" s="2">
        <v>214690</v>
      </c>
      <c r="F59" s="2">
        <v>1114</v>
      </c>
      <c r="G59" s="2" t="s">
        <v>51</v>
      </c>
      <c r="H59" s="2"/>
      <c r="I59" s="2">
        <v>228818</v>
      </c>
      <c r="J59" s="2">
        <v>1</v>
      </c>
      <c r="K59" s="2">
        <v>463109</v>
      </c>
      <c r="L59" s="3">
        <v>45884</v>
      </c>
      <c r="M59" s="4">
        <v>1048.33</v>
      </c>
      <c r="N59" s="4">
        <v>1320</v>
      </c>
      <c r="O59" s="5">
        <v>0</v>
      </c>
      <c r="P59" s="5">
        <v>30.75</v>
      </c>
      <c r="Q59" s="6" t="s">
        <v>52</v>
      </c>
      <c r="R59" s="2" t="s">
        <v>60</v>
      </c>
      <c r="S59" s="5">
        <v>30.75</v>
      </c>
      <c r="T59" s="7">
        <v>0.1</v>
      </c>
      <c r="U59" s="5">
        <v>3.08</v>
      </c>
      <c r="V59" s="2"/>
      <c r="W59" s="3">
        <v>45905</v>
      </c>
      <c r="X59" s="8"/>
      <c r="Y59" s="15"/>
    </row>
    <row r="60" spans="2:25" ht="17.100000000000001" customHeight="1" x14ac:dyDescent="0.25">
      <c r="B60" s="14">
        <v>1</v>
      </c>
      <c r="C60" s="2"/>
      <c r="D60" s="3">
        <v>45834</v>
      </c>
      <c r="E60" s="2">
        <v>212644</v>
      </c>
      <c r="F60" s="2">
        <v>20277</v>
      </c>
      <c r="G60" s="2" t="s">
        <v>54</v>
      </c>
      <c r="H60" s="2"/>
      <c r="I60" s="2">
        <v>8828</v>
      </c>
      <c r="J60" s="2">
        <v>1</v>
      </c>
      <c r="K60" s="2">
        <v>453000</v>
      </c>
      <c r="L60" s="3">
        <v>45864</v>
      </c>
      <c r="M60" s="4">
        <v>127070.21</v>
      </c>
      <c r="N60" s="4">
        <v>160000</v>
      </c>
      <c r="O60" s="5">
        <v>3235.09</v>
      </c>
      <c r="P60" s="5">
        <v>0</v>
      </c>
      <c r="Q60" s="6" t="s">
        <v>50</v>
      </c>
      <c r="R60" s="2" t="s">
        <v>60</v>
      </c>
      <c r="S60" s="5">
        <v>3235.09</v>
      </c>
      <c r="T60" s="7">
        <v>0.1</v>
      </c>
      <c r="U60" s="5">
        <v>323.51</v>
      </c>
      <c r="V60" s="2"/>
      <c r="W60" s="3">
        <v>45905</v>
      </c>
      <c r="X60" s="8"/>
      <c r="Y60" s="15"/>
    </row>
    <row r="61" spans="2:25" ht="17.100000000000001" customHeight="1" x14ac:dyDescent="0.25">
      <c r="B61" s="14">
        <v>1</v>
      </c>
      <c r="C61" s="2"/>
      <c r="D61" s="3">
        <v>45834</v>
      </c>
      <c r="E61" s="2">
        <v>212644</v>
      </c>
      <c r="F61" s="2">
        <v>20277</v>
      </c>
      <c r="G61" s="2" t="s">
        <v>54</v>
      </c>
      <c r="H61" s="2"/>
      <c r="I61" s="2">
        <v>8828</v>
      </c>
      <c r="J61" s="2">
        <v>1</v>
      </c>
      <c r="K61" s="2">
        <v>453000</v>
      </c>
      <c r="L61" s="3">
        <v>45864</v>
      </c>
      <c r="M61" s="4">
        <v>127070.21</v>
      </c>
      <c r="N61" s="4">
        <v>160000</v>
      </c>
      <c r="O61" s="5">
        <v>0</v>
      </c>
      <c r="P61" s="5">
        <v>3774.27</v>
      </c>
      <c r="Q61" s="6" t="s">
        <v>50</v>
      </c>
      <c r="R61" s="2" t="s">
        <v>60</v>
      </c>
      <c r="S61" s="5">
        <v>3774.27</v>
      </c>
      <c r="T61" s="7">
        <v>0.1</v>
      </c>
      <c r="U61" s="5">
        <v>377.43</v>
      </c>
      <c r="V61" s="2"/>
      <c r="W61" s="3">
        <v>45905</v>
      </c>
      <c r="X61" s="8"/>
      <c r="Y61" s="15"/>
    </row>
    <row r="62" spans="2:25" ht="17.100000000000001" customHeight="1" x14ac:dyDescent="0.25">
      <c r="B62" s="14">
        <v>1</v>
      </c>
      <c r="C62" s="3">
        <v>45901</v>
      </c>
      <c r="D62" s="3">
        <v>45897</v>
      </c>
      <c r="E62" s="2">
        <v>213837</v>
      </c>
      <c r="F62" s="2">
        <v>26252</v>
      </c>
      <c r="G62" s="2" t="s">
        <v>62</v>
      </c>
      <c r="H62" s="2"/>
      <c r="I62" s="2">
        <v>230684</v>
      </c>
      <c r="J62" s="2">
        <v>1</v>
      </c>
      <c r="K62" s="2">
        <v>463109</v>
      </c>
      <c r="L62" s="3">
        <v>45898</v>
      </c>
      <c r="M62" s="4">
        <v>213906.51</v>
      </c>
      <c r="N62" s="4">
        <v>235000</v>
      </c>
      <c r="O62" s="5">
        <v>3600.16</v>
      </c>
      <c r="P62" s="5">
        <v>0</v>
      </c>
      <c r="Q62" s="22" t="s">
        <v>72</v>
      </c>
      <c r="R62" s="2" t="s">
        <v>60</v>
      </c>
      <c r="S62" s="5">
        <f>O62+P62</f>
        <v>3600.16</v>
      </c>
      <c r="T62" s="2" t="s">
        <v>63</v>
      </c>
      <c r="U62" s="5">
        <f>S62*T62</f>
        <v>360.01600000000002</v>
      </c>
      <c r="V62" s="2"/>
      <c r="W62" s="3">
        <v>45943</v>
      </c>
      <c r="X62" s="8"/>
      <c r="Y62" s="15"/>
    </row>
    <row r="63" spans="2:25" ht="17.100000000000001" customHeight="1" x14ac:dyDescent="0.25">
      <c r="B63" s="14">
        <v>1</v>
      </c>
      <c r="C63" s="3">
        <v>45901</v>
      </c>
      <c r="D63" s="3">
        <v>45897</v>
      </c>
      <c r="E63" s="2">
        <v>213837</v>
      </c>
      <c r="F63" s="2">
        <v>26252</v>
      </c>
      <c r="G63" s="2" t="s">
        <v>62</v>
      </c>
      <c r="H63" s="2"/>
      <c r="I63" s="2">
        <v>230684</v>
      </c>
      <c r="J63" s="2">
        <v>1</v>
      </c>
      <c r="K63" s="2">
        <v>463109</v>
      </c>
      <c r="L63" s="3">
        <v>45898</v>
      </c>
      <c r="M63" s="4">
        <v>213906.51</v>
      </c>
      <c r="N63" s="4">
        <v>235000</v>
      </c>
      <c r="O63" s="5">
        <v>0</v>
      </c>
      <c r="P63" s="5">
        <v>1938.55</v>
      </c>
      <c r="Q63" s="22" t="s">
        <v>72</v>
      </c>
      <c r="R63" s="2" t="s">
        <v>60</v>
      </c>
      <c r="S63" s="5">
        <f t="shared" ref="S63:S71" si="0">O63+P63</f>
        <v>1938.55</v>
      </c>
      <c r="T63" s="2" t="s">
        <v>63</v>
      </c>
      <c r="U63" s="5">
        <f t="shared" ref="U63:U71" si="1">S63*T63</f>
        <v>193.85500000000002</v>
      </c>
      <c r="V63" s="2"/>
      <c r="W63" s="3">
        <v>45943</v>
      </c>
      <c r="X63" s="8"/>
      <c r="Y63" s="15"/>
    </row>
    <row r="64" spans="2:25" ht="17.100000000000001" customHeight="1" x14ac:dyDescent="0.25">
      <c r="B64" s="14">
        <v>1</v>
      </c>
      <c r="C64" s="3">
        <v>45901</v>
      </c>
      <c r="D64" s="3">
        <v>45897</v>
      </c>
      <c r="E64" s="2">
        <v>213837</v>
      </c>
      <c r="F64" s="2">
        <v>26252</v>
      </c>
      <c r="G64" s="2" t="s">
        <v>62</v>
      </c>
      <c r="H64" s="2"/>
      <c r="I64" s="2">
        <v>230684</v>
      </c>
      <c r="J64" s="2">
        <v>1</v>
      </c>
      <c r="K64" s="2">
        <v>463109</v>
      </c>
      <c r="L64" s="3">
        <v>45898</v>
      </c>
      <c r="M64" s="4">
        <v>213906.51</v>
      </c>
      <c r="N64" s="4">
        <v>235000</v>
      </c>
      <c r="O64" s="5">
        <v>3716.3</v>
      </c>
      <c r="P64" s="5">
        <v>0</v>
      </c>
      <c r="Q64" s="22" t="s">
        <v>72</v>
      </c>
      <c r="R64" s="2" t="s">
        <v>60</v>
      </c>
      <c r="S64" s="5">
        <f t="shared" si="0"/>
        <v>3716.3</v>
      </c>
      <c r="T64" s="2" t="s">
        <v>63</v>
      </c>
      <c r="U64" s="5">
        <f t="shared" si="1"/>
        <v>371.63000000000005</v>
      </c>
      <c r="V64" s="2"/>
      <c r="W64" s="3">
        <v>45943</v>
      </c>
      <c r="X64" s="8"/>
      <c r="Y64" s="15"/>
    </row>
    <row r="65" spans="2:25" ht="17.100000000000001" customHeight="1" x14ac:dyDescent="0.25">
      <c r="B65" s="14">
        <v>1</v>
      </c>
      <c r="C65" s="3">
        <v>45901</v>
      </c>
      <c r="D65" s="3">
        <v>45897</v>
      </c>
      <c r="E65" s="2">
        <v>213837</v>
      </c>
      <c r="F65" s="2">
        <v>26252</v>
      </c>
      <c r="G65" s="2" t="s">
        <v>62</v>
      </c>
      <c r="H65" s="2"/>
      <c r="I65" s="2">
        <v>230684</v>
      </c>
      <c r="J65" s="2">
        <v>1</v>
      </c>
      <c r="K65" s="2">
        <v>463109</v>
      </c>
      <c r="L65" s="3">
        <v>45898</v>
      </c>
      <c r="M65" s="4">
        <v>213906.51</v>
      </c>
      <c r="N65" s="4">
        <v>235000</v>
      </c>
      <c r="O65" s="5">
        <v>0</v>
      </c>
      <c r="P65" s="5">
        <v>2001.08</v>
      </c>
      <c r="Q65" s="22" t="s">
        <v>72</v>
      </c>
      <c r="R65" s="2" t="s">
        <v>60</v>
      </c>
      <c r="S65" s="5">
        <f t="shared" si="0"/>
        <v>2001.08</v>
      </c>
      <c r="T65" s="2" t="s">
        <v>63</v>
      </c>
      <c r="U65" s="5">
        <f t="shared" si="1"/>
        <v>200.108</v>
      </c>
      <c r="V65" s="2"/>
      <c r="W65" s="3">
        <v>45943</v>
      </c>
      <c r="X65" s="8"/>
      <c r="Y65" s="15"/>
    </row>
    <row r="66" spans="2:25" ht="17.100000000000001" customHeight="1" x14ac:dyDescent="0.25">
      <c r="B66" s="14">
        <v>1</v>
      </c>
      <c r="C66" s="3">
        <v>45901</v>
      </c>
      <c r="D66" s="3">
        <v>45897</v>
      </c>
      <c r="E66" s="2">
        <v>213837</v>
      </c>
      <c r="F66" s="2">
        <v>26252</v>
      </c>
      <c r="G66" s="2" t="s">
        <v>62</v>
      </c>
      <c r="H66" s="2"/>
      <c r="I66" s="2">
        <v>230684</v>
      </c>
      <c r="J66" s="2">
        <v>1</v>
      </c>
      <c r="K66" s="2">
        <v>463109</v>
      </c>
      <c r="L66" s="3">
        <v>45898</v>
      </c>
      <c r="M66" s="4">
        <v>213906.51</v>
      </c>
      <c r="N66" s="4">
        <v>235000</v>
      </c>
      <c r="O66" s="5">
        <v>3600.16</v>
      </c>
      <c r="P66" s="5">
        <v>0</v>
      </c>
      <c r="Q66" s="22" t="s">
        <v>72</v>
      </c>
      <c r="R66" s="2" t="s">
        <v>60</v>
      </c>
      <c r="S66" s="5">
        <f t="shared" si="0"/>
        <v>3600.16</v>
      </c>
      <c r="T66" s="2" t="s">
        <v>63</v>
      </c>
      <c r="U66" s="5">
        <f t="shared" si="1"/>
        <v>360.01600000000002</v>
      </c>
      <c r="V66" s="2"/>
      <c r="W66" s="3">
        <v>45943</v>
      </c>
      <c r="X66" s="8"/>
      <c r="Y66" s="15"/>
    </row>
    <row r="67" spans="2:25" ht="17.100000000000001" customHeight="1" x14ac:dyDescent="0.25">
      <c r="B67" s="14">
        <v>1</v>
      </c>
      <c r="C67" s="3">
        <v>45901</v>
      </c>
      <c r="D67" s="3">
        <v>45897</v>
      </c>
      <c r="E67" s="2">
        <v>213837</v>
      </c>
      <c r="F67" s="2">
        <v>26252</v>
      </c>
      <c r="G67" s="2" t="s">
        <v>62</v>
      </c>
      <c r="H67" s="2"/>
      <c r="I67" s="2">
        <v>230684</v>
      </c>
      <c r="J67" s="2">
        <v>1</v>
      </c>
      <c r="K67" s="2">
        <v>463109</v>
      </c>
      <c r="L67" s="3">
        <v>45898</v>
      </c>
      <c r="M67" s="4">
        <v>213906.51</v>
      </c>
      <c r="N67" s="4">
        <v>235000</v>
      </c>
      <c r="O67" s="5">
        <v>0</v>
      </c>
      <c r="P67" s="5">
        <v>1938.55</v>
      </c>
      <c r="Q67" s="22" t="s">
        <v>72</v>
      </c>
      <c r="R67" s="2" t="s">
        <v>60</v>
      </c>
      <c r="S67" s="5">
        <f t="shared" si="0"/>
        <v>1938.55</v>
      </c>
      <c r="T67" s="2" t="s">
        <v>63</v>
      </c>
      <c r="U67" s="5">
        <f t="shared" si="1"/>
        <v>193.85500000000002</v>
      </c>
      <c r="V67" s="2"/>
      <c r="W67" s="3">
        <v>45943</v>
      </c>
      <c r="X67" s="8"/>
      <c r="Y67" s="15"/>
    </row>
    <row r="68" spans="2:25" ht="17.100000000000001" customHeight="1" x14ac:dyDescent="0.25">
      <c r="B68" s="14">
        <v>1</v>
      </c>
      <c r="C68" s="3">
        <v>45909</v>
      </c>
      <c r="D68" s="3">
        <v>45897</v>
      </c>
      <c r="E68" s="2">
        <v>213837</v>
      </c>
      <c r="F68" s="2">
        <v>26252</v>
      </c>
      <c r="G68" s="2" t="s">
        <v>62</v>
      </c>
      <c r="H68" s="2"/>
      <c r="I68" s="2">
        <v>230684</v>
      </c>
      <c r="J68" s="2">
        <v>2</v>
      </c>
      <c r="K68" s="2">
        <v>463109</v>
      </c>
      <c r="L68" s="3">
        <v>45931</v>
      </c>
      <c r="M68" s="4">
        <v>70543.64</v>
      </c>
      <c r="N68" s="4">
        <v>77500</v>
      </c>
      <c r="O68" s="5">
        <v>3600.16</v>
      </c>
      <c r="P68" s="5">
        <v>0</v>
      </c>
      <c r="Q68" s="22" t="s">
        <v>72</v>
      </c>
      <c r="R68" s="2" t="s">
        <v>60</v>
      </c>
      <c r="S68" s="5">
        <f t="shared" si="0"/>
        <v>3600.16</v>
      </c>
      <c r="T68" s="2" t="s">
        <v>63</v>
      </c>
      <c r="U68" s="5">
        <f t="shared" si="1"/>
        <v>360.01600000000002</v>
      </c>
      <c r="V68" s="2"/>
      <c r="W68" s="3">
        <v>45943</v>
      </c>
      <c r="X68" s="8"/>
      <c r="Y68" s="15"/>
    </row>
    <row r="69" spans="2:25" ht="17.100000000000001" customHeight="1" x14ac:dyDescent="0.25">
      <c r="B69" s="14">
        <v>1</v>
      </c>
      <c r="C69" s="3">
        <v>45909</v>
      </c>
      <c r="D69" s="3">
        <v>45897</v>
      </c>
      <c r="E69" s="2">
        <v>213837</v>
      </c>
      <c r="F69" s="2">
        <v>26252</v>
      </c>
      <c r="G69" s="2" t="s">
        <v>62</v>
      </c>
      <c r="H69" s="2"/>
      <c r="I69" s="2">
        <v>230684</v>
      </c>
      <c r="J69" s="2">
        <v>2</v>
      </c>
      <c r="K69" s="2">
        <v>463109</v>
      </c>
      <c r="L69" s="3">
        <v>45931</v>
      </c>
      <c r="M69" s="4">
        <v>70543.64</v>
      </c>
      <c r="N69" s="4">
        <v>77500</v>
      </c>
      <c r="O69" s="5">
        <v>0</v>
      </c>
      <c r="P69" s="5">
        <v>1938.55</v>
      </c>
      <c r="Q69" s="22" t="s">
        <v>72</v>
      </c>
      <c r="R69" s="2" t="s">
        <v>60</v>
      </c>
      <c r="S69" s="5">
        <f t="shared" si="0"/>
        <v>1938.55</v>
      </c>
      <c r="T69" s="2" t="s">
        <v>63</v>
      </c>
      <c r="U69" s="5">
        <f t="shared" si="1"/>
        <v>193.85500000000002</v>
      </c>
      <c r="V69" s="2"/>
      <c r="W69" s="3">
        <v>45943</v>
      </c>
      <c r="X69" s="8"/>
      <c r="Y69" s="15"/>
    </row>
    <row r="70" spans="2:25" ht="17.100000000000001" customHeight="1" x14ac:dyDescent="0.25">
      <c r="B70" s="14">
        <v>1</v>
      </c>
      <c r="C70" s="3">
        <v>45901</v>
      </c>
      <c r="D70" s="3">
        <v>45868</v>
      </c>
      <c r="E70" s="2">
        <v>214519</v>
      </c>
      <c r="F70" s="2">
        <v>4573</v>
      </c>
      <c r="G70" s="2" t="s">
        <v>58</v>
      </c>
      <c r="H70" s="2"/>
      <c r="I70" s="2">
        <v>229333</v>
      </c>
      <c r="J70" s="2">
        <v>2</v>
      </c>
      <c r="K70" s="2">
        <v>463109</v>
      </c>
      <c r="L70" s="3">
        <v>45901</v>
      </c>
      <c r="M70" s="4">
        <v>39447.589999999997</v>
      </c>
      <c r="N70" s="4">
        <v>44440</v>
      </c>
      <c r="O70" s="5">
        <v>1800.43</v>
      </c>
      <c r="P70" s="5">
        <v>0</v>
      </c>
      <c r="Q70" s="6" t="s">
        <v>64</v>
      </c>
      <c r="R70" s="2" t="s">
        <v>60</v>
      </c>
      <c r="S70" s="5">
        <f t="shared" si="0"/>
        <v>1800.43</v>
      </c>
      <c r="T70" s="2" t="s">
        <v>63</v>
      </c>
      <c r="U70" s="5">
        <f t="shared" si="1"/>
        <v>180.04300000000001</v>
      </c>
      <c r="V70" s="2"/>
      <c r="W70" s="3">
        <v>45943</v>
      </c>
      <c r="X70" s="8"/>
      <c r="Y70" s="15"/>
    </row>
    <row r="71" spans="2:25" ht="17.100000000000001" customHeight="1" x14ac:dyDescent="0.25">
      <c r="B71" s="14">
        <v>1</v>
      </c>
      <c r="C71" s="3">
        <v>45901</v>
      </c>
      <c r="D71" s="3">
        <v>45868</v>
      </c>
      <c r="E71" s="2">
        <v>214519</v>
      </c>
      <c r="F71" s="2">
        <v>4573</v>
      </c>
      <c r="G71" s="2" t="s">
        <v>58</v>
      </c>
      <c r="H71" s="2"/>
      <c r="I71" s="2">
        <v>229333</v>
      </c>
      <c r="J71" s="2">
        <v>2</v>
      </c>
      <c r="K71" s="2">
        <v>463109</v>
      </c>
      <c r="L71" s="3">
        <v>45901</v>
      </c>
      <c r="M71" s="4">
        <v>39447.589999999997</v>
      </c>
      <c r="N71" s="4">
        <v>44440</v>
      </c>
      <c r="O71" s="5">
        <v>0</v>
      </c>
      <c r="P71" s="5">
        <v>1145.73</v>
      </c>
      <c r="Q71" s="6" t="s">
        <v>64</v>
      </c>
      <c r="R71" s="2" t="s">
        <v>60</v>
      </c>
      <c r="S71" s="5">
        <f t="shared" si="0"/>
        <v>1145.73</v>
      </c>
      <c r="T71" s="2" t="s">
        <v>63</v>
      </c>
      <c r="U71" s="5">
        <f t="shared" si="1"/>
        <v>114.57300000000001</v>
      </c>
      <c r="V71" s="2"/>
      <c r="W71" s="3">
        <v>45943</v>
      </c>
      <c r="X71" s="8"/>
      <c r="Y71" s="15"/>
    </row>
    <row r="72" spans="2:25" ht="17.100000000000001" customHeight="1" x14ac:dyDescent="0.25">
      <c r="B72" s="14">
        <v>1</v>
      </c>
      <c r="C72" s="3">
        <v>45931</v>
      </c>
      <c r="D72" s="3">
        <v>45868</v>
      </c>
      <c r="E72" s="2">
        <v>214519</v>
      </c>
      <c r="F72" s="2">
        <v>4573</v>
      </c>
      <c r="G72" s="2" t="s">
        <v>58</v>
      </c>
      <c r="H72" s="2"/>
      <c r="I72" s="2">
        <v>229333</v>
      </c>
      <c r="J72" s="2">
        <v>3</v>
      </c>
      <c r="K72" s="2">
        <v>463109</v>
      </c>
      <c r="L72" s="3">
        <v>45931</v>
      </c>
      <c r="M72" s="4">
        <v>39447.589999999997</v>
      </c>
      <c r="N72" s="4">
        <v>44440</v>
      </c>
      <c r="O72" s="5">
        <v>1800.43</v>
      </c>
      <c r="P72" s="5">
        <v>0</v>
      </c>
      <c r="Q72" s="6" t="s">
        <v>59</v>
      </c>
      <c r="R72" s="2" t="s">
        <v>25</v>
      </c>
      <c r="S72" s="5">
        <v>1800.43</v>
      </c>
      <c r="T72" s="7">
        <v>0.1</v>
      </c>
      <c r="U72" s="5">
        <v>180.04</v>
      </c>
      <c r="V72" s="2" t="s">
        <v>23</v>
      </c>
      <c r="W72" s="3">
        <v>45971</v>
      </c>
      <c r="X72" s="8"/>
      <c r="Y72" s="15"/>
    </row>
    <row r="73" spans="2:25" ht="17.100000000000001" customHeight="1" x14ac:dyDescent="0.25">
      <c r="B73" s="14">
        <v>1</v>
      </c>
      <c r="C73" s="3">
        <v>45931</v>
      </c>
      <c r="D73" s="3">
        <v>45868</v>
      </c>
      <c r="E73" s="2">
        <v>214519</v>
      </c>
      <c r="F73" s="2">
        <v>4573</v>
      </c>
      <c r="G73" s="2" t="s">
        <v>58</v>
      </c>
      <c r="H73" s="2"/>
      <c r="I73" s="2">
        <v>229333</v>
      </c>
      <c r="J73" s="2">
        <v>3</v>
      </c>
      <c r="K73" s="2">
        <v>463109</v>
      </c>
      <c r="L73" s="3">
        <v>45931</v>
      </c>
      <c r="M73" s="4">
        <v>39447.589999999997</v>
      </c>
      <c r="N73" s="4">
        <v>44440</v>
      </c>
      <c r="O73" s="5">
        <v>0</v>
      </c>
      <c r="P73" s="5">
        <v>1145.73</v>
      </c>
      <c r="Q73" s="6" t="s">
        <v>59</v>
      </c>
      <c r="R73" s="2" t="s">
        <v>25</v>
      </c>
      <c r="S73" s="5">
        <v>1145.73</v>
      </c>
      <c r="T73" s="7">
        <v>0.1</v>
      </c>
      <c r="U73" s="5">
        <v>114.57</v>
      </c>
      <c r="V73" s="2" t="s">
        <v>23</v>
      </c>
      <c r="W73" s="3">
        <v>45971</v>
      </c>
      <c r="X73" s="8"/>
      <c r="Y73" s="15"/>
    </row>
    <row r="74" spans="2:25" ht="17.100000000000001" customHeight="1" x14ac:dyDescent="0.25">
      <c r="B74" s="14">
        <v>1</v>
      </c>
      <c r="C74" s="3">
        <v>45953</v>
      </c>
      <c r="D74" s="3">
        <v>45952</v>
      </c>
      <c r="E74" s="2">
        <v>218626</v>
      </c>
      <c r="F74" s="2">
        <v>6896</v>
      </c>
      <c r="G74" s="2" t="s">
        <v>56</v>
      </c>
      <c r="H74" s="2"/>
      <c r="I74" s="2">
        <v>232793</v>
      </c>
      <c r="J74" s="2">
        <v>1</v>
      </c>
      <c r="K74" s="2">
        <v>463109</v>
      </c>
      <c r="L74" s="3">
        <v>45952</v>
      </c>
      <c r="M74" s="4">
        <v>203741.74</v>
      </c>
      <c r="N74" s="4">
        <v>227625</v>
      </c>
      <c r="O74" s="5">
        <v>0</v>
      </c>
      <c r="P74" s="5">
        <v>5855.28</v>
      </c>
      <c r="Q74" s="6" t="s">
        <v>65</v>
      </c>
      <c r="R74" s="2" t="s">
        <v>25</v>
      </c>
      <c r="S74" s="5">
        <v>5855.28</v>
      </c>
      <c r="T74" s="7">
        <v>0.1</v>
      </c>
      <c r="U74" s="5">
        <v>585.53</v>
      </c>
      <c r="V74" s="2" t="s">
        <v>23</v>
      </c>
      <c r="W74" s="3">
        <v>45971</v>
      </c>
      <c r="X74" s="8"/>
      <c r="Y74" s="15"/>
    </row>
    <row r="75" spans="2:25" ht="17.100000000000001" customHeight="1" x14ac:dyDescent="0.25">
      <c r="B75" s="14">
        <v>1</v>
      </c>
      <c r="C75" s="3">
        <v>45953</v>
      </c>
      <c r="D75" s="3">
        <v>45952</v>
      </c>
      <c r="E75" s="2">
        <v>218626</v>
      </c>
      <c r="F75" s="2">
        <v>6896</v>
      </c>
      <c r="G75" s="2" t="s">
        <v>56</v>
      </c>
      <c r="H75" s="2"/>
      <c r="I75" s="2">
        <v>232793</v>
      </c>
      <c r="J75" s="2">
        <v>1</v>
      </c>
      <c r="K75" s="2">
        <v>463109</v>
      </c>
      <c r="L75" s="3">
        <v>45952</v>
      </c>
      <c r="M75" s="4">
        <v>203741.74</v>
      </c>
      <c r="N75" s="4">
        <v>227625</v>
      </c>
      <c r="O75" s="5">
        <v>10874.09</v>
      </c>
      <c r="P75" s="5">
        <v>0</v>
      </c>
      <c r="Q75" s="6" t="s">
        <v>65</v>
      </c>
      <c r="R75" s="2" t="s">
        <v>25</v>
      </c>
      <c r="S75" s="5">
        <v>10874.09</v>
      </c>
      <c r="T75" s="7">
        <v>0.1</v>
      </c>
      <c r="U75" s="5">
        <v>1087.4100000000001</v>
      </c>
      <c r="V75" s="2" t="s">
        <v>23</v>
      </c>
      <c r="W75" s="3">
        <v>45971</v>
      </c>
      <c r="X75" s="8"/>
      <c r="Y75" s="15"/>
    </row>
    <row r="76" spans="2:25" ht="17.100000000000001" customHeight="1" x14ac:dyDescent="0.25">
      <c r="B76" s="14">
        <v>1</v>
      </c>
      <c r="C76" s="3">
        <v>45964</v>
      </c>
      <c r="D76" s="3">
        <v>45868</v>
      </c>
      <c r="E76" s="2">
        <v>214519</v>
      </c>
      <c r="F76" s="2">
        <v>4573</v>
      </c>
      <c r="G76" s="2" t="s">
        <v>58</v>
      </c>
      <c r="H76" s="2"/>
      <c r="I76" s="2">
        <v>229333</v>
      </c>
      <c r="J76" s="2">
        <v>4</v>
      </c>
      <c r="K76" s="2">
        <v>463109</v>
      </c>
      <c r="L76" s="3">
        <v>45962</v>
      </c>
      <c r="M76" s="4">
        <v>39447.589999999997</v>
      </c>
      <c r="N76" s="4">
        <v>44440</v>
      </c>
      <c r="O76" s="5">
        <v>0</v>
      </c>
      <c r="P76" s="5">
        <v>1145.73</v>
      </c>
      <c r="Q76" s="6" t="s">
        <v>64</v>
      </c>
      <c r="R76" s="2" t="s">
        <v>25</v>
      </c>
      <c r="S76" s="5">
        <v>1145.73</v>
      </c>
      <c r="T76" s="7">
        <v>0.1</v>
      </c>
      <c r="U76" s="5">
        <v>114.57</v>
      </c>
      <c r="V76" s="2" t="s">
        <v>23</v>
      </c>
      <c r="W76" s="3">
        <v>46003</v>
      </c>
      <c r="X76" s="8"/>
      <c r="Y76" s="15"/>
    </row>
    <row r="77" spans="2:25" ht="17.100000000000001" customHeight="1" x14ac:dyDescent="0.25">
      <c r="B77" s="14">
        <v>1</v>
      </c>
      <c r="C77" s="3">
        <v>45964</v>
      </c>
      <c r="D77" s="3">
        <v>45868</v>
      </c>
      <c r="E77" s="2">
        <v>214519</v>
      </c>
      <c r="F77" s="2">
        <v>4573</v>
      </c>
      <c r="G77" s="2" t="s">
        <v>58</v>
      </c>
      <c r="H77" s="2"/>
      <c r="I77" s="2">
        <v>229333</v>
      </c>
      <c r="J77" s="2">
        <v>4</v>
      </c>
      <c r="K77" s="2">
        <v>463109</v>
      </c>
      <c r="L77" s="3">
        <v>45962</v>
      </c>
      <c r="M77" s="4">
        <v>39447.589999999997</v>
      </c>
      <c r="N77" s="4">
        <v>44440</v>
      </c>
      <c r="O77" s="5">
        <v>1800.43</v>
      </c>
      <c r="P77" s="5">
        <v>0</v>
      </c>
      <c r="Q77" s="6" t="s">
        <v>64</v>
      </c>
      <c r="R77" s="2" t="s">
        <v>25</v>
      </c>
      <c r="S77" s="5">
        <v>1800.43</v>
      </c>
      <c r="T77" s="7">
        <v>0.1</v>
      </c>
      <c r="U77" s="5">
        <v>180.04</v>
      </c>
      <c r="V77" s="2" t="s">
        <v>23</v>
      </c>
      <c r="W77" s="3">
        <v>46003</v>
      </c>
      <c r="X77" s="8"/>
      <c r="Y77" s="15"/>
    </row>
    <row r="78" spans="2:25" ht="17.100000000000001" customHeight="1" x14ac:dyDescent="0.25">
      <c r="B78" s="14">
        <v>1</v>
      </c>
      <c r="C78" s="3">
        <v>45985</v>
      </c>
      <c r="D78" s="3">
        <v>45952</v>
      </c>
      <c r="E78" s="2">
        <v>218626</v>
      </c>
      <c r="F78" s="2">
        <v>6896</v>
      </c>
      <c r="G78" s="2" t="s">
        <v>56</v>
      </c>
      <c r="H78" s="2"/>
      <c r="I78" s="2">
        <v>232793</v>
      </c>
      <c r="J78" s="2">
        <v>2</v>
      </c>
      <c r="K78" s="2">
        <v>463109</v>
      </c>
      <c r="L78" s="3">
        <v>45982</v>
      </c>
      <c r="M78" s="4">
        <v>101870.87</v>
      </c>
      <c r="N78" s="4">
        <v>113812.5</v>
      </c>
      <c r="O78" s="5">
        <v>0</v>
      </c>
      <c r="P78" s="5">
        <v>2927.64</v>
      </c>
      <c r="Q78" s="6" t="s">
        <v>65</v>
      </c>
      <c r="R78" s="2" t="s">
        <v>25</v>
      </c>
      <c r="S78" s="5">
        <v>2927.64</v>
      </c>
      <c r="T78" s="7">
        <v>0.1</v>
      </c>
      <c r="U78" s="5">
        <v>292.76</v>
      </c>
      <c r="V78" s="2" t="s">
        <v>23</v>
      </c>
      <c r="W78" s="3">
        <v>46003</v>
      </c>
      <c r="X78" s="8"/>
      <c r="Y78" s="15"/>
    </row>
    <row r="79" spans="2:25" ht="17.100000000000001" customHeight="1" x14ac:dyDescent="0.25">
      <c r="B79" s="14">
        <v>1</v>
      </c>
      <c r="C79" s="3">
        <v>45980</v>
      </c>
      <c r="D79" s="3">
        <v>45897</v>
      </c>
      <c r="E79" s="2">
        <v>213837</v>
      </c>
      <c r="F79" s="2">
        <v>26252</v>
      </c>
      <c r="G79" s="2" t="s">
        <v>62</v>
      </c>
      <c r="H79" s="2"/>
      <c r="I79" s="2">
        <v>230684</v>
      </c>
      <c r="J79" s="2">
        <v>3</v>
      </c>
      <c r="K79" s="2">
        <v>463109</v>
      </c>
      <c r="L79" s="3">
        <v>45962</v>
      </c>
      <c r="M79" s="4">
        <v>70543.64</v>
      </c>
      <c r="N79" s="4">
        <v>77500</v>
      </c>
      <c r="O79" s="5">
        <v>0</v>
      </c>
      <c r="P79" s="5">
        <v>1938.55</v>
      </c>
      <c r="Q79" s="6" t="s">
        <v>66</v>
      </c>
      <c r="R79" s="2" t="s">
        <v>25</v>
      </c>
      <c r="S79" s="5">
        <v>1938.55</v>
      </c>
      <c r="T79" s="7">
        <v>0.1</v>
      </c>
      <c r="U79" s="5">
        <v>193.86</v>
      </c>
      <c r="V79" s="2" t="s">
        <v>23</v>
      </c>
      <c r="W79" s="3">
        <v>46003</v>
      </c>
      <c r="X79" s="8"/>
      <c r="Y79" s="15"/>
    </row>
    <row r="80" spans="2:25" ht="17.100000000000001" customHeight="1" x14ac:dyDescent="0.25">
      <c r="B80" s="14">
        <v>1</v>
      </c>
      <c r="C80" s="3">
        <v>45980</v>
      </c>
      <c r="D80" s="3">
        <v>45897</v>
      </c>
      <c r="E80" s="2">
        <v>213837</v>
      </c>
      <c r="F80" s="2">
        <v>26252</v>
      </c>
      <c r="G80" s="2" t="s">
        <v>62</v>
      </c>
      <c r="H80" s="2"/>
      <c r="I80" s="2">
        <v>230684</v>
      </c>
      <c r="J80" s="2">
        <v>3</v>
      </c>
      <c r="K80" s="2">
        <v>463109</v>
      </c>
      <c r="L80" s="3">
        <v>45962</v>
      </c>
      <c r="M80" s="4">
        <v>70543.64</v>
      </c>
      <c r="N80" s="4">
        <v>77500</v>
      </c>
      <c r="O80" s="5">
        <v>3600.16</v>
      </c>
      <c r="P80" s="5">
        <v>0</v>
      </c>
      <c r="Q80" s="6" t="s">
        <v>66</v>
      </c>
      <c r="R80" s="2" t="s">
        <v>25</v>
      </c>
      <c r="S80" s="5">
        <v>3600.16</v>
      </c>
      <c r="T80" s="7">
        <v>0.1</v>
      </c>
      <c r="U80" s="5">
        <v>360.02</v>
      </c>
      <c r="V80" s="2" t="s">
        <v>23</v>
      </c>
      <c r="W80" s="3">
        <v>46003</v>
      </c>
      <c r="X80" s="8"/>
      <c r="Y80" s="15"/>
    </row>
    <row r="81" spans="2:25" ht="17.100000000000001" customHeight="1" x14ac:dyDescent="0.25">
      <c r="B81" s="14">
        <v>1</v>
      </c>
      <c r="C81" s="3">
        <v>45985</v>
      </c>
      <c r="D81" s="3">
        <v>45952</v>
      </c>
      <c r="E81" s="2">
        <v>218626</v>
      </c>
      <c r="F81" s="2">
        <v>6896</v>
      </c>
      <c r="G81" s="2" t="s">
        <v>56</v>
      </c>
      <c r="H81" s="2"/>
      <c r="I81" s="2">
        <v>232793</v>
      </c>
      <c r="J81" s="2">
        <v>2</v>
      </c>
      <c r="K81" s="2">
        <v>463109</v>
      </c>
      <c r="L81" s="3">
        <v>45982</v>
      </c>
      <c r="M81" s="4">
        <v>101870.87</v>
      </c>
      <c r="N81" s="4">
        <v>113812.5</v>
      </c>
      <c r="O81" s="5">
        <v>5437.04</v>
      </c>
      <c r="P81" s="5">
        <v>0</v>
      </c>
      <c r="Q81" s="6" t="s">
        <v>65</v>
      </c>
      <c r="R81" s="2" t="s">
        <v>25</v>
      </c>
      <c r="S81" s="5">
        <v>5437.04</v>
      </c>
      <c r="T81" s="7">
        <v>0.1</v>
      </c>
      <c r="U81" s="5">
        <v>543.70000000000005</v>
      </c>
      <c r="V81" s="2" t="s">
        <v>23</v>
      </c>
      <c r="W81" s="3">
        <v>46003</v>
      </c>
      <c r="X81" s="8"/>
      <c r="Y81" s="15"/>
    </row>
    <row r="82" spans="2:25" ht="17.100000000000001" customHeight="1" x14ac:dyDescent="0.25">
      <c r="B82" s="14">
        <v>1</v>
      </c>
      <c r="C82" s="3">
        <v>46002</v>
      </c>
      <c r="D82" s="3">
        <v>45898</v>
      </c>
      <c r="E82" s="2">
        <v>214341</v>
      </c>
      <c r="F82" s="2">
        <v>4923</v>
      </c>
      <c r="G82" s="2" t="s">
        <v>28</v>
      </c>
      <c r="H82" s="2"/>
      <c r="I82" s="2">
        <v>230761</v>
      </c>
      <c r="J82" s="2">
        <v>1</v>
      </c>
      <c r="K82" s="2">
        <v>463109</v>
      </c>
      <c r="L82" s="3">
        <v>45982</v>
      </c>
      <c r="M82" s="4">
        <v>340648.15</v>
      </c>
      <c r="N82" s="4">
        <v>380000</v>
      </c>
      <c r="O82" s="5">
        <v>0</v>
      </c>
      <c r="P82" s="5">
        <v>8984.18</v>
      </c>
      <c r="Q82" s="6" t="s">
        <v>67</v>
      </c>
      <c r="R82" s="2" t="s">
        <v>25</v>
      </c>
      <c r="S82" s="5">
        <v>8984.18</v>
      </c>
      <c r="T82" s="7">
        <v>0.1</v>
      </c>
      <c r="U82" s="5">
        <v>898.42</v>
      </c>
      <c r="V82" s="2"/>
      <c r="W82" s="3">
        <v>45665</v>
      </c>
      <c r="X82" s="8"/>
      <c r="Y82" s="15"/>
    </row>
    <row r="83" spans="2:25" ht="17.100000000000001" customHeight="1" x14ac:dyDescent="0.25">
      <c r="B83" s="14">
        <v>1</v>
      </c>
      <c r="C83" s="3">
        <v>45992</v>
      </c>
      <c r="D83" s="3">
        <v>45868</v>
      </c>
      <c r="E83" s="2">
        <v>214519</v>
      </c>
      <c r="F83" s="2">
        <v>4573</v>
      </c>
      <c r="G83" s="2" t="s">
        <v>58</v>
      </c>
      <c r="H83" s="2"/>
      <c r="I83" s="2">
        <v>229333</v>
      </c>
      <c r="J83" s="2">
        <v>5</v>
      </c>
      <c r="K83" s="2">
        <v>463109</v>
      </c>
      <c r="L83" s="3">
        <v>45992</v>
      </c>
      <c r="M83" s="4">
        <v>39447.61</v>
      </c>
      <c r="N83" s="4">
        <v>44440</v>
      </c>
      <c r="O83" s="5">
        <v>1800.43</v>
      </c>
      <c r="P83" s="5">
        <v>0</v>
      </c>
      <c r="Q83" s="6" t="s">
        <v>59</v>
      </c>
      <c r="R83" s="2" t="s">
        <v>25</v>
      </c>
      <c r="S83" s="5">
        <v>1800.43</v>
      </c>
      <c r="T83" s="7">
        <v>0.1</v>
      </c>
      <c r="U83" s="5">
        <v>180.04</v>
      </c>
      <c r="V83" s="2"/>
      <c r="W83" s="3">
        <v>45665</v>
      </c>
      <c r="X83" s="8"/>
      <c r="Y83" s="15"/>
    </row>
    <row r="84" spans="2:25" ht="17.100000000000001" customHeight="1" x14ac:dyDescent="0.25">
      <c r="B84" s="14">
        <v>1</v>
      </c>
      <c r="C84" s="3">
        <v>45992</v>
      </c>
      <c r="D84" s="3">
        <v>45868</v>
      </c>
      <c r="E84" s="2">
        <v>214519</v>
      </c>
      <c r="F84" s="2">
        <v>4573</v>
      </c>
      <c r="G84" s="2" t="s">
        <v>58</v>
      </c>
      <c r="H84" s="2"/>
      <c r="I84" s="2">
        <v>229333</v>
      </c>
      <c r="J84" s="2">
        <v>5</v>
      </c>
      <c r="K84" s="2">
        <v>463109</v>
      </c>
      <c r="L84" s="3">
        <v>45992</v>
      </c>
      <c r="M84" s="4">
        <v>39447.61</v>
      </c>
      <c r="N84" s="4">
        <v>44440</v>
      </c>
      <c r="O84" s="5">
        <v>0</v>
      </c>
      <c r="P84" s="5">
        <v>1145.73</v>
      </c>
      <c r="Q84" s="6" t="s">
        <v>59</v>
      </c>
      <c r="R84" s="2" t="s">
        <v>25</v>
      </c>
      <c r="S84" s="5">
        <v>1145.73</v>
      </c>
      <c r="T84" s="7">
        <v>0.1</v>
      </c>
      <c r="U84" s="5">
        <v>114.57</v>
      </c>
      <c r="V84" s="2"/>
      <c r="W84" s="3">
        <v>45665</v>
      </c>
      <c r="X84" s="8"/>
      <c r="Y84" s="15"/>
    </row>
    <row r="85" spans="2:25" ht="17.100000000000001" customHeight="1" x14ac:dyDescent="0.25">
      <c r="B85" s="14">
        <v>1</v>
      </c>
      <c r="C85" s="3">
        <v>45992</v>
      </c>
      <c r="D85" s="3">
        <v>45989</v>
      </c>
      <c r="E85" s="2">
        <v>219195</v>
      </c>
      <c r="F85" s="2">
        <v>6896</v>
      </c>
      <c r="G85" s="2" t="s">
        <v>56</v>
      </c>
      <c r="H85" s="2"/>
      <c r="I85" s="2">
        <v>234322</v>
      </c>
      <c r="J85" s="2">
        <v>1</v>
      </c>
      <c r="K85" s="2">
        <v>463109</v>
      </c>
      <c r="L85" s="3">
        <v>45991</v>
      </c>
      <c r="M85" s="4">
        <v>252177.21</v>
      </c>
      <c r="N85" s="4">
        <v>279212.79999999999</v>
      </c>
      <c r="O85" s="5">
        <v>13603.18</v>
      </c>
      <c r="P85" s="5">
        <v>0</v>
      </c>
      <c r="Q85" s="6" t="s">
        <v>68</v>
      </c>
      <c r="R85" s="2" t="s">
        <v>25</v>
      </c>
      <c r="S85" s="5">
        <v>13603.18</v>
      </c>
      <c r="T85" s="7">
        <v>0.1</v>
      </c>
      <c r="U85" s="5">
        <v>1360.32</v>
      </c>
      <c r="V85" s="2"/>
      <c r="W85" s="3">
        <v>45665</v>
      </c>
      <c r="X85" s="8"/>
      <c r="Y85" s="15"/>
    </row>
    <row r="86" spans="2:25" ht="17.100000000000001" customHeight="1" x14ac:dyDescent="0.25">
      <c r="B86" s="14">
        <v>1</v>
      </c>
      <c r="C86" s="3">
        <v>45992</v>
      </c>
      <c r="D86" s="3">
        <v>45989</v>
      </c>
      <c r="E86" s="2">
        <v>219195</v>
      </c>
      <c r="F86" s="2">
        <v>6896</v>
      </c>
      <c r="G86" s="2" t="s">
        <v>56</v>
      </c>
      <c r="H86" s="2"/>
      <c r="I86" s="2">
        <v>234322</v>
      </c>
      <c r="J86" s="2">
        <v>1</v>
      </c>
      <c r="K86" s="2">
        <v>463109</v>
      </c>
      <c r="L86" s="3">
        <v>45991</v>
      </c>
      <c r="M86" s="4">
        <v>252177.21</v>
      </c>
      <c r="N86" s="4">
        <v>279212.79999999999</v>
      </c>
      <c r="O86" s="5">
        <v>0</v>
      </c>
      <c r="P86" s="5">
        <v>7324.79</v>
      </c>
      <c r="Q86" s="6" t="s">
        <v>68</v>
      </c>
      <c r="R86" s="2" t="s">
        <v>25</v>
      </c>
      <c r="S86" s="5">
        <v>7324.79</v>
      </c>
      <c r="T86" s="7">
        <v>0.1</v>
      </c>
      <c r="U86" s="5">
        <v>732.48</v>
      </c>
      <c r="V86" s="2"/>
      <c r="W86" s="3">
        <v>45665</v>
      </c>
      <c r="X86" s="8"/>
      <c r="Y86" s="15"/>
    </row>
    <row r="87" spans="2:25" ht="17.100000000000001" customHeight="1" x14ac:dyDescent="0.25">
      <c r="B87" s="14">
        <v>1</v>
      </c>
      <c r="C87" s="3">
        <v>46002</v>
      </c>
      <c r="D87" s="3">
        <v>45898</v>
      </c>
      <c r="E87" s="2">
        <v>214341</v>
      </c>
      <c r="F87" s="2">
        <v>4923</v>
      </c>
      <c r="G87" s="2" t="s">
        <v>28</v>
      </c>
      <c r="H87" s="2"/>
      <c r="I87" s="2">
        <v>230761</v>
      </c>
      <c r="J87" s="2">
        <v>1</v>
      </c>
      <c r="K87" s="2">
        <v>463109</v>
      </c>
      <c r="L87" s="3">
        <v>45982</v>
      </c>
      <c r="M87" s="4">
        <v>340648.15</v>
      </c>
      <c r="N87" s="4">
        <v>380000</v>
      </c>
      <c r="O87" s="5">
        <v>16684.91</v>
      </c>
      <c r="P87" s="5">
        <v>0</v>
      </c>
      <c r="Q87" s="6" t="s">
        <v>67</v>
      </c>
      <c r="R87" s="2" t="s">
        <v>25</v>
      </c>
      <c r="S87" s="5">
        <v>16684.91</v>
      </c>
      <c r="T87" s="7">
        <v>0.1</v>
      </c>
      <c r="U87" s="5">
        <v>1668.49</v>
      </c>
      <c r="V87" s="2"/>
      <c r="W87" s="3">
        <v>45665</v>
      </c>
      <c r="X87" s="8"/>
      <c r="Y87" s="15"/>
    </row>
    <row r="88" spans="2:25" ht="17.100000000000001" customHeight="1" x14ac:dyDescent="0.25">
      <c r="B88" s="14">
        <v>1</v>
      </c>
      <c r="C88" s="3">
        <v>46014</v>
      </c>
      <c r="D88" s="3">
        <v>45952</v>
      </c>
      <c r="E88" s="2">
        <v>218626</v>
      </c>
      <c r="F88" s="2">
        <v>6896</v>
      </c>
      <c r="G88" s="2" t="s">
        <v>56</v>
      </c>
      <c r="H88" s="2"/>
      <c r="I88" s="2">
        <v>232793</v>
      </c>
      <c r="J88" s="2">
        <v>3</v>
      </c>
      <c r="K88" s="2">
        <v>463109</v>
      </c>
      <c r="L88" s="3">
        <v>46012</v>
      </c>
      <c r="M88" s="4">
        <v>101870.87</v>
      </c>
      <c r="N88" s="4">
        <v>113812.5</v>
      </c>
      <c r="O88" s="5">
        <v>5437.04</v>
      </c>
      <c r="P88" s="5">
        <v>0</v>
      </c>
      <c r="Q88" s="6" t="s">
        <v>65</v>
      </c>
      <c r="R88" s="2" t="s">
        <v>25</v>
      </c>
      <c r="S88" s="5">
        <v>5437.04</v>
      </c>
      <c r="T88" s="7">
        <v>0.1</v>
      </c>
      <c r="U88" s="5">
        <v>543.70000000000005</v>
      </c>
      <c r="V88" s="2"/>
      <c r="W88" s="3">
        <v>45665</v>
      </c>
      <c r="X88" s="8"/>
      <c r="Y88" s="15"/>
    </row>
    <row r="89" spans="2:25" ht="17.100000000000001" customHeight="1" x14ac:dyDescent="0.25">
      <c r="B89" s="14">
        <v>1</v>
      </c>
      <c r="C89" s="3">
        <v>46013</v>
      </c>
      <c r="D89" s="3">
        <v>46010</v>
      </c>
      <c r="E89" s="2">
        <v>219115</v>
      </c>
      <c r="F89" s="2">
        <v>6896</v>
      </c>
      <c r="G89" s="2" t="s">
        <v>56</v>
      </c>
      <c r="H89" s="2"/>
      <c r="I89" s="2">
        <v>235224</v>
      </c>
      <c r="J89" s="2">
        <v>1</v>
      </c>
      <c r="K89" s="2">
        <v>463109</v>
      </c>
      <c r="L89" s="3">
        <v>46021</v>
      </c>
      <c r="M89" s="4">
        <v>167750.51</v>
      </c>
      <c r="N89" s="4">
        <v>208536</v>
      </c>
      <c r="O89" s="5">
        <v>9500.76</v>
      </c>
      <c r="P89" s="5">
        <v>0</v>
      </c>
      <c r="Q89" s="6" t="s">
        <v>65</v>
      </c>
      <c r="R89" s="2" t="s">
        <v>25</v>
      </c>
      <c r="S89" s="5">
        <v>9500.76</v>
      </c>
      <c r="T89" s="7">
        <v>0.1</v>
      </c>
      <c r="U89" s="5">
        <v>950.08</v>
      </c>
      <c r="V89" s="2"/>
      <c r="W89" s="3">
        <v>45665</v>
      </c>
      <c r="X89" s="8"/>
      <c r="Y89" s="15"/>
    </row>
    <row r="90" spans="2:25" ht="16.5" x14ac:dyDescent="0.25">
      <c r="B90" s="14">
        <v>1</v>
      </c>
      <c r="C90" s="3">
        <v>46013</v>
      </c>
      <c r="D90" s="3">
        <v>46010</v>
      </c>
      <c r="E90" s="2">
        <v>219115</v>
      </c>
      <c r="F90" s="2">
        <v>6896</v>
      </c>
      <c r="G90" s="2" t="s">
        <v>56</v>
      </c>
      <c r="H90" s="2"/>
      <c r="I90" s="2">
        <v>235224</v>
      </c>
      <c r="J90" s="2">
        <v>1</v>
      </c>
      <c r="K90" s="2">
        <v>463109</v>
      </c>
      <c r="L90" s="3">
        <v>46021</v>
      </c>
      <c r="M90" s="4">
        <v>167750.51</v>
      </c>
      <c r="N90" s="4">
        <v>208536</v>
      </c>
      <c r="O90" s="5" t="s">
        <v>23</v>
      </c>
      <c r="P90" s="5">
        <v>5115.79</v>
      </c>
      <c r="Q90" s="6" t="s">
        <v>65</v>
      </c>
      <c r="R90" s="2" t="s">
        <v>25</v>
      </c>
      <c r="S90" s="5">
        <v>5115.79</v>
      </c>
      <c r="T90" s="7">
        <v>0.1</v>
      </c>
      <c r="U90" s="5">
        <v>511.58</v>
      </c>
      <c r="V90" s="2"/>
      <c r="W90" s="3">
        <v>45665</v>
      </c>
      <c r="X90" s="8"/>
      <c r="Y90" s="15"/>
    </row>
    <row r="91" spans="2:25" ht="16.5" x14ac:dyDescent="0.25">
      <c r="B91" s="14">
        <v>1</v>
      </c>
      <c r="C91" s="3">
        <v>46014</v>
      </c>
      <c r="D91" s="3">
        <v>45952</v>
      </c>
      <c r="E91" s="2">
        <v>218626</v>
      </c>
      <c r="F91" s="2">
        <v>6896</v>
      </c>
      <c r="G91" s="2" t="s">
        <v>56</v>
      </c>
      <c r="H91" s="2"/>
      <c r="I91" s="8"/>
      <c r="J91" s="8"/>
      <c r="K91" s="8"/>
      <c r="L91" s="8"/>
      <c r="M91" s="8"/>
      <c r="N91" s="8"/>
      <c r="O91" s="9"/>
      <c r="P91" s="9"/>
      <c r="Q91" s="8"/>
      <c r="R91" s="8"/>
      <c r="S91" s="9"/>
      <c r="T91" s="8"/>
      <c r="U91" s="9"/>
      <c r="V91" s="8"/>
      <c r="W91" s="8"/>
      <c r="X91" s="8"/>
      <c r="Y91" s="15"/>
    </row>
    <row r="92" spans="2:25" x14ac:dyDescent="0.25">
      <c r="B92" s="1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  <c r="P92" s="9"/>
      <c r="Q92" s="8"/>
      <c r="R92" s="8"/>
      <c r="S92" s="9"/>
      <c r="T92" s="8"/>
      <c r="U92" s="9"/>
      <c r="V92" s="8"/>
      <c r="W92" s="8"/>
      <c r="X92" s="8"/>
      <c r="Y92" s="15"/>
    </row>
    <row r="93" spans="2:25" x14ac:dyDescent="0.25">
      <c r="B93" s="1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9"/>
      <c r="P93" s="9"/>
      <c r="Q93" s="8"/>
      <c r="R93" s="8"/>
      <c r="S93" s="9"/>
      <c r="T93" s="8"/>
      <c r="U93" s="9"/>
      <c r="V93" s="8"/>
      <c r="W93" s="8"/>
      <c r="X93" s="8"/>
      <c r="Y93" s="15"/>
    </row>
    <row r="94" spans="2:25" x14ac:dyDescent="0.25">
      <c r="B94" s="1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  <c r="P94" s="9"/>
      <c r="Q94" s="8"/>
      <c r="R94" s="8"/>
      <c r="S94" s="9"/>
      <c r="T94" s="8"/>
      <c r="U94" s="9"/>
      <c r="V94" s="8"/>
      <c r="W94" s="8"/>
      <c r="X94" s="8"/>
      <c r="Y94" s="15"/>
    </row>
    <row r="95" spans="2:25" x14ac:dyDescent="0.25">
      <c r="B95" s="1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9"/>
      <c r="P95" s="9"/>
      <c r="Q95" s="8"/>
      <c r="R95" s="8"/>
      <c r="S95" s="9"/>
      <c r="T95" s="8"/>
      <c r="U95" s="9"/>
      <c r="V95" s="8"/>
      <c r="W95" s="8"/>
      <c r="X95" s="8"/>
      <c r="Y95" s="15"/>
    </row>
    <row r="96" spans="2:25" x14ac:dyDescent="0.25">
      <c r="B96" s="1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  <c r="P96" s="9"/>
      <c r="Q96" s="8"/>
      <c r="R96" s="8"/>
      <c r="S96" s="9"/>
      <c r="T96" s="8"/>
      <c r="U96" s="9"/>
      <c r="V96" s="8"/>
      <c r="W96" s="8"/>
      <c r="X96" s="8"/>
      <c r="Y96" s="15"/>
    </row>
    <row r="97" spans="2:25" x14ac:dyDescent="0.25">
      <c r="B97" s="1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9"/>
      <c r="P97" s="9"/>
      <c r="Q97" s="8"/>
      <c r="R97" s="8"/>
      <c r="S97" s="9"/>
      <c r="T97" s="8"/>
      <c r="U97" s="9"/>
      <c r="V97" s="8"/>
      <c r="W97" s="8"/>
      <c r="X97" s="8"/>
      <c r="Y97" s="15"/>
    </row>
    <row r="98" spans="2:25" x14ac:dyDescent="0.25">
      <c r="B98" s="1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  <c r="P98" s="9"/>
      <c r="Q98" s="8"/>
      <c r="R98" s="8"/>
      <c r="S98" s="9"/>
      <c r="T98" s="8"/>
      <c r="U98" s="9"/>
      <c r="V98" s="8"/>
      <c r="W98" s="8"/>
      <c r="X98" s="8"/>
      <c r="Y98" s="15"/>
    </row>
    <row r="99" spans="2:25" x14ac:dyDescent="0.25">
      <c r="B99" s="1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  <c r="P99" s="9"/>
      <c r="Q99" s="8"/>
      <c r="R99" s="8"/>
      <c r="S99" s="9"/>
      <c r="T99" s="8"/>
      <c r="U99" s="9"/>
      <c r="V99" s="8"/>
      <c r="W99" s="8"/>
      <c r="X99" s="8"/>
      <c r="Y99" s="15"/>
    </row>
    <row r="100" spans="2:25" x14ac:dyDescent="0.25">
      <c r="B100" s="1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  <c r="P100" s="9"/>
      <c r="Q100" s="8"/>
      <c r="R100" s="8"/>
      <c r="S100" s="9"/>
      <c r="T100" s="8"/>
      <c r="U100" s="9"/>
      <c r="V100" s="8"/>
      <c r="W100" s="8"/>
      <c r="X100" s="8"/>
      <c r="Y100" s="15"/>
    </row>
    <row r="101" spans="2:25" x14ac:dyDescent="0.25">
      <c r="B101" s="1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9"/>
      <c r="P101" s="9"/>
      <c r="Q101" s="8"/>
      <c r="R101" s="8"/>
      <c r="S101" s="9"/>
      <c r="T101" s="8"/>
      <c r="U101" s="9"/>
      <c r="V101" s="8"/>
      <c r="W101" s="8"/>
      <c r="X101" s="8"/>
      <c r="Y101" s="15"/>
    </row>
    <row r="102" spans="2:25" x14ac:dyDescent="0.25">
      <c r="B102" s="1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  <c r="P102" s="9"/>
      <c r="Q102" s="8"/>
      <c r="R102" s="8"/>
      <c r="S102" s="9"/>
      <c r="T102" s="8"/>
      <c r="U102" s="9"/>
      <c r="V102" s="8"/>
      <c r="W102" s="8"/>
      <c r="X102" s="8"/>
      <c r="Y102" s="15"/>
    </row>
    <row r="103" spans="2:25" x14ac:dyDescent="0.25">
      <c r="B103" s="1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9"/>
      <c r="P103" s="9"/>
      <c r="Q103" s="8"/>
      <c r="R103" s="8"/>
      <c r="S103" s="9"/>
      <c r="T103" s="8"/>
      <c r="U103" s="9"/>
      <c r="V103" s="8"/>
      <c r="W103" s="8"/>
      <c r="X103" s="8"/>
      <c r="Y103" s="15"/>
    </row>
    <row r="104" spans="2:25" x14ac:dyDescent="0.25">
      <c r="B104" s="1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  <c r="P104" s="9"/>
      <c r="Q104" s="8"/>
      <c r="R104" s="8"/>
      <c r="S104" s="9"/>
      <c r="T104" s="8"/>
      <c r="U104" s="9"/>
      <c r="V104" s="8"/>
      <c r="W104" s="8"/>
      <c r="X104" s="8"/>
      <c r="Y104" s="15"/>
    </row>
    <row r="105" spans="2:25" x14ac:dyDescent="0.25">
      <c r="B105" s="1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9"/>
      <c r="P105" s="9"/>
      <c r="Q105" s="8"/>
      <c r="R105" s="8"/>
      <c r="S105" s="9"/>
      <c r="T105" s="8"/>
      <c r="U105" s="9"/>
      <c r="V105" s="8"/>
      <c r="W105" s="8"/>
      <c r="X105" s="8"/>
      <c r="Y105" s="15"/>
    </row>
    <row r="106" spans="2:25" x14ac:dyDescent="0.25">
      <c r="B106" s="1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  <c r="P106" s="9"/>
      <c r="Q106" s="8"/>
      <c r="R106" s="8"/>
      <c r="S106" s="9"/>
      <c r="T106" s="8"/>
      <c r="U106" s="9"/>
      <c r="V106" s="8"/>
      <c r="W106" s="8"/>
      <c r="X106" s="8"/>
      <c r="Y106" s="15"/>
    </row>
    <row r="107" spans="2:25" ht="15.75" thickBot="1" x14ac:dyDescent="0.3">
      <c r="B107" s="17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9"/>
      <c r="P107" s="19"/>
      <c r="Q107" s="18"/>
      <c r="R107" s="18"/>
      <c r="S107" s="19"/>
      <c r="T107" s="18"/>
      <c r="U107" s="19"/>
      <c r="V107" s="18"/>
      <c r="W107" s="18"/>
      <c r="X107" s="18"/>
      <c r="Y107" s="20"/>
    </row>
    <row r="109" spans="2:25" x14ac:dyDescent="0.25">
      <c r="U109" s="1">
        <f>SUM(U4:U108)</f>
        <v>32908.837</v>
      </c>
    </row>
  </sheetData>
  <mergeCells count="1">
    <mergeCell ref="B2:Y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8FB6-3E4A-41BC-A437-8C2E4CE982F4}">
  <dimension ref="C1:F2"/>
  <sheetViews>
    <sheetView workbookViewId="0">
      <selection activeCell="F4" sqref="F4"/>
    </sheetView>
  </sheetViews>
  <sheetFormatPr defaultRowHeight="15" x14ac:dyDescent="0.25"/>
  <cols>
    <col min="3" max="4" width="12.7109375" customWidth="1"/>
    <col min="5" max="5" width="45.7109375" customWidth="1"/>
    <col min="6" max="6" width="41" customWidth="1"/>
  </cols>
  <sheetData>
    <row r="1" spans="3:6" ht="15.75" thickBot="1" x14ac:dyDescent="0.3"/>
    <row r="2" spans="3:6" ht="33" x14ac:dyDescent="0.25">
      <c r="C2" s="23" t="s">
        <v>16</v>
      </c>
      <c r="D2" s="23" t="s">
        <v>73</v>
      </c>
      <c r="E2" s="23" t="s">
        <v>6</v>
      </c>
      <c r="F2" s="24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 de Comissões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Rodrigues - MP-Bios / Erecta</dc:creator>
  <cp:lastModifiedBy>Cicero Rodrigues - MP-Bios / Erecta</cp:lastModifiedBy>
  <dcterms:created xsi:type="dcterms:W3CDTF">2026-01-16T15:20:48Z</dcterms:created>
  <dcterms:modified xsi:type="dcterms:W3CDTF">2026-01-26T12:28:46Z</dcterms:modified>
</cp:coreProperties>
</file>